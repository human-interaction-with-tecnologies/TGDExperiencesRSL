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kp 2nd filter) studies to be " sheetId="1" r:id="rId5"/>
    <sheet state="visible" name="studies to be analyzed" sheetId="2" r:id="rId6"/>
    <sheet state="visible" name="accepted studies" sheetId="3" r:id="rId7"/>
    <sheet state="visible" name="excluded by criteria" sheetId="4" r:id="rId8"/>
  </sheets>
  <definedNames>
    <definedName hidden="1" localSheetId="1" name="_xlnm._FilterDatabase">'studies to be analyzed'!$A$1:$X$73</definedName>
  </definedNames>
  <calcPr/>
</workbook>
</file>

<file path=xl/sharedStrings.xml><?xml version="1.0" encoding="utf-8"?>
<sst xmlns="http://schemas.openxmlformats.org/spreadsheetml/2006/main" count="2209" uniqueCount="604">
  <si>
    <t>CRITÉRIO</t>
  </si>
  <si>
    <t>id</t>
  </si>
  <si>
    <t>DESCRIÇÃO</t>
  </si>
  <si>
    <t>title</t>
  </si>
  <si>
    <t>QUANTIDADE</t>
  </si>
  <si>
    <t>url</t>
  </si>
  <si>
    <t>doi (url)</t>
  </si>
  <si>
    <t>Elegibilidade ISRAEL</t>
  </si>
  <si>
    <t>Critério ISRAEL</t>
  </si>
  <si>
    <t>Comentários ISRAEL</t>
  </si>
  <si>
    <t>EC1</t>
  </si>
  <si>
    <t>Elegibilidade SUZANE</t>
  </si>
  <si>
    <t>Eligibility of first author</t>
  </si>
  <si>
    <t>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</si>
  <si>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Elegibilidade</t>
  </si>
  <si>
    <t>First-author criterion</t>
  </si>
  <si>
    <t>Critério  SUZANE</t>
  </si>
  <si>
    <t>Critério</t>
  </si>
  <si>
    <t>First author's comments</t>
  </si>
  <si>
    <t>Comentários SUZANE</t>
  </si>
  <si>
    <t>Quality Assessment</t>
  </si>
  <si>
    <t>year</t>
  </si>
  <si>
    <t>CONCORDÂNCIA</t>
  </si>
  <si>
    <t>month</t>
  </si>
  <si>
    <t>day</t>
  </si>
  <si>
    <t>EC2</t>
  </si>
  <si>
    <t>journal</t>
  </si>
  <si>
    <t>issn</t>
  </si>
  <si>
    <t>Study that addresses other aspects of identity without focusing on gender identity as a factor in social network research.</t>
  </si>
  <si>
    <t>volume</t>
  </si>
  <si>
    <t>issue</t>
  </si>
  <si>
    <t>pages</t>
  </si>
  <si>
    <t>authors</t>
  </si>
  <si>
    <t>language</t>
  </si>
  <si>
    <t>publisher</t>
  </si>
  <si>
    <t>EC3</t>
  </si>
  <si>
    <t>location</t>
  </si>
  <si>
    <t>Non-peer-reviewed studies.</t>
  </si>
  <si>
    <t>notes</t>
  </si>
  <si>
    <t>keywords</t>
  </si>
  <si>
    <t>pubmed_id</t>
  </si>
  <si>
    <t>pmc_id</t>
  </si>
  <si>
    <t>S01</t>
  </si>
  <si>
    <t>EC4</t>
  </si>
  <si>
    <t>Study published in languages other than English or Portuguese.</t>
  </si>
  <si>
    <t>A Phenomenological Investigation into Cyberbullying as Experienced by People Identifying as Transgender or Gender Diverse</t>
  </si>
  <si>
    <t>https://pubmed.ncbi.nlm.nih.gov/35682144/</t>
  </si>
  <si>
    <t>Queer youth, Facebook and faith: Facebook methodologies and online identities</t>
  </si>
  <si>
    <t>EC5</t>
  </si>
  <si>
    <t>Secondary study (systematic reviews, meta-analyses, and other secondary analyses that do not present new empirical data).</t>
  </si>
  <si>
    <t>Disclosure, Stress, and Support During Gender Transition on Facebook</t>
  </si>
  <si>
    <t>https://doi.org/10.1177/1461444814544000</t>
  </si>
  <si>
    <t>EC6</t>
  </si>
  <si>
    <t>Study that is not a full article.</t>
  </si>
  <si>
    <t>https://doi.org/10.1145/2675133.2675152</t>
  </si>
  <si>
    <t>https://doi.org/10.3390/ijerph19116560</t>
  </si>
  <si>
    <t>EC7</t>
  </si>
  <si>
    <t>Rejected</t>
  </si>
  <si>
    <t>Study with full text unavailable.</t>
  </si>
  <si>
    <t>EC2 Study that addresses other aspects of identity without focusing on gender identity as a factor in social network research</t>
  </si>
  <si>
    <t>Accepted</t>
  </si>
  <si>
    <t xml:space="preserve">There is a mixing of the concepts of gender and sexuality, which are treated as if they were indistinguishable. There is a brief and unique mention of the (only) trans participant in the sample. It is much more focused on sexuality. It scored low on the quality criteria quality assessment </t>
  </si>
  <si>
    <t>IC1 Study that discusses the needs and/or experiences of transgender or gender diverse people when using social networks</t>
  </si>
  <si>
    <t>"Even within the LGBTQIA+ spectrum, TGD individuals are disproportionately impacted by mental illness, and they experience depression, anxiety, and suicidality at higher rates than cisgender lesbian, gay, bisexual (LGB), and queer individuals [6–8,15]. Tudo.</t>
  </si>
  <si>
    <t>EC8</t>
  </si>
  <si>
    <t>Study that exclusively analyze posts, hashtags, representations about TGD experiences in social media, without direct data from TGD individuals (e.g., interviews, surveys) on their lived experiences or platform usage practices.</t>
  </si>
  <si>
    <t>NEW MEDIA \&amp; SOCIETY</t>
  </si>
  <si>
    <t>1461-4448</t>
  </si>
  <si>
    <t>1138-1153</t>
  </si>
  <si>
    <t>Duplicated</t>
  </si>
  <si>
    <t>Taylor, Yvette and Falconer, Emily and Snowdon, Ria</t>
  </si>
  <si>
    <t>TOTAL</t>
  </si>
  <si>
    <t>International journal of environmental research and public health</t>
  </si>
  <si>
    <t>1660-4601 (Electronic)</t>
  </si>
  <si>
    <t>1176–1190</t>
  </si>
  <si>
    <t>Haimson, Oliver L. and Brubaker, Jed R. and Dombrowski, Lynn and Hayes, Gillian R.</t>
  </si>
  <si>
    <t>Evelyn S and Clancy EM and Klettke B and Tatnell R</t>
  </si>
  <si>
    <t>eng</t>
  </si>
  <si>
    <t>Association for Computing Machinery</t>
  </si>
  <si>
    <t>Switzerland</t>
  </si>
  <si>
    <t>New York, NY, USA</t>
  </si>
  <si>
    <t>Adolescent;*Cyberbullying;Gender Identity;Humans;Surveys and Questionnaires;*Transgender Persons/psychology;*Transsexualism;Young Adult;Male;Female</t>
  </si>
  <si>
    <t>identity transitions;lgbtq;life transitions;online identity;social networking sites;stress;support;transgender</t>
  </si>
  <si>
    <t>PMC9180504</t>
  </si>
  <si>
    <t>S02</t>
  </si>
  <si>
    <t>A Transgender Chatbot (Amanda Selfie) to Create Pre-exposure Prophylaxis Demand Among Adolescents in Brazil: Assessment of Acceptability, Functionality, Usability, and Results</t>
  </si>
  <si>
    <t>https://pubmed.ncbi.nlm.nih.gov/37351920/</t>
  </si>
  <si>
    <t>https://doi.org/10.2196/41881</t>
  </si>
  <si>
    <t>Online Inspiration and Exploration for Identity Reinvention</t>
  </si>
  <si>
    <t>https://doi.org/10.1145/2702123.2702270</t>
  </si>
  <si>
    <t>Journal of medical Internet research</t>
  </si>
  <si>
    <t>1438-8871 (Electronic)</t>
  </si>
  <si>
    <t>e41881</t>
  </si>
  <si>
    <t>Massa P and de Souza Ferraz DA and Magno L and Silva AP and Greco M and Dourado I and Grangeiro A</t>
  </si>
  <si>
    <t>Canada</t>
  </si>
  <si>
    <t>Humans;Male;Adolescent;Female;*Transgender Persons;Homosexuality, Male;*Pre-Exposure Prophylaxis/methods;*HIV Infections/epidemiology;*Sexual and Gender Minorities;Brazil;Artificial Intelligence;Gender Identity</t>
  </si>
  <si>
    <t>PMC10337301</t>
  </si>
  <si>
    <t>3809–3818</t>
  </si>
  <si>
    <t>Haimson, Oliver L. and Bowser, Anne E. and Melcer, Edward F. and Churchill, Elizabeth F.</t>
  </si>
  <si>
    <t>identity transitions;lgbtq;online identity;social curation sites;social networking sites;transgender</t>
  </si>
  <si>
    <t>S03</t>
  </si>
  <si>
    <t>An examination of social media as a platform for cyber-violence against the LGBT+ population</t>
  </si>
  <si>
    <t>https://doi.org/10.1080/10130950.2019.1704485</t>
  </si>
  <si>
    <t>Esse vai ser removido nos critérios de qualidade (pouca gente tgd)</t>
  </si>
  <si>
    <t>AGENDA-EMPOWERING WOMEN FOR GENDER EQUITY</t>
  </si>
  <si>
    <t>1013-0950</t>
  </si>
  <si>
    <t>23-33</t>
  </si>
  <si>
    <t>Mkhize, Simangele and Nunlall, Reema and Gopal, Nirmala</t>
  </si>
  <si>
    <t>Digital Footprints and Changing Networks During Online Identity Transitions</t>
  </si>
  <si>
    <t>https://doi.org/10.1145/2858036.2858136</t>
  </si>
  <si>
    <t>S04</t>
  </si>
  <si>
    <t>Queer Identity Management and Political Self-Expression on Social Networking Sites: A Co-Cultural Approach to the Spiral of Silence</t>
  </si>
  <si>
    <t>https://doi.org/10.1111/jcom.12137</t>
  </si>
  <si>
    <t>2895–2907</t>
  </si>
  <si>
    <t>digital artifacts;digital footprints;identity transitions;lgbtq;life transitions;networks;online identity;social network sites;transgender</t>
  </si>
  <si>
    <t xml:space="preserve">although the study addresses identity management on social media, it focuses on sexual orientation  rather than gender identity. The single transgender participant is not analyzed distinctly, and gender identity is not treated as a factor in social media research. It scored low on the quality criteria quality assessment </t>
  </si>
  <si>
    <t>JOURNAL OF COMMUNICATION</t>
  </si>
  <si>
    <t>0021-9916</t>
  </si>
  <si>
    <t>79-100</t>
  </si>
  <si>
    <t>Fox, Jesse and Warber, Katie M.</t>
  </si>
  <si>
    <t>An exploratory study on prejudice based on gender identity or sexual orientation perceived by users in social networks</t>
  </si>
  <si>
    <t>https://journals-sol.sbc.org.br/index.php/jis/article/view/693</t>
  </si>
  <si>
    <t>https://doi.org/10.5753/jis.2018.693</t>
  </si>
  <si>
    <t>Journal on Interactive Systems</t>
  </si>
  <si>
    <t>Pereira, Guilherme Colucci and Baranauskas, Maria Cecília Calani</t>
  </si>
  <si>
    <t>S05</t>
  </si>
  <si>
    <t>Perfect</t>
  </si>
  <si>
    <t>Queer identity online: Informal learning and teaching experiences of LGBTQ individuals on social media</t>
  </si>
  <si>
    <t>https://doi.org/10.1016/j.chb.2016.06.009</t>
  </si>
  <si>
    <t>COMPUTERS IN HUMAN BEHAVIOR</t>
  </si>
  <si>
    <t>0747-5632</t>
  </si>
  <si>
    <t>635-642</t>
  </si>
  <si>
    <t>Fox, Jesse and Ralston, Rachel</t>
  </si>
  <si>
    <t>Analysis of Social Media Use, Mental Health, and Gender Identity Among US Youths</t>
  </si>
  <si>
    <t>https://pubmed.ncbi.nlm.nih.gov/37486631/</t>
  </si>
  <si>
    <t>https://doi.org/10.1001/jamanetworkopen.2023.24389</t>
  </si>
  <si>
    <t>S06</t>
  </si>
  <si>
    <t xml:space="preserve">Esse parece bom. Compara indicadores de saúde mental entre cis e tgc, testando gênero tipo como moderador da relação entre práticas de uso e saúde mental
</t>
  </si>
  <si>
    <t>it documents specific experiences of transgender participants using social media for identity learning, experimentation, and community building, revealing both enabling affordances (anonymity, visibility) and critical barriers (transphobia, context collapse) that directly inform the design of safer and more inclusive platforms</t>
  </si>
  <si>
    <t>JAMA network open</t>
  </si>
  <si>
    <t>2574-3805 (Electronic)</t>
  </si>
  <si>
    <t>e2324389</t>
  </si>
  <si>
    <t>Coyne SM and Weinstein E and Sheppard JA and James S and Gale M and Van Alfen M and Ririe N and Monson C and Ashby S and Weston A and Banks K</t>
  </si>
  <si>
    <t>United States</t>
  </si>
  <si>
    <t>Child;Humans;Male;Female;Adolescent;United States/epidemiology;Gender Identity;Mental Health;*Social Media;Cross-Sectional Studies;*Transgender Persons/psychology</t>
  </si>
  <si>
    <t>PMC10366700</t>
  </si>
  <si>
    <t>S07</t>
  </si>
  <si>
    <t>Identity, Victimization, and Support: Facebook Experiences and Mental Health Among LGBTQ Youth</t>
  </si>
  <si>
    <t>Trans youth and social media: moving between counterpublics and the wider web</t>
  </si>
  <si>
    <t>https://pubmed.ncbi.nlm.nih.gov/29225412/</t>
  </si>
  <si>
    <t>https://doi.org/10.1080/0966369X.2017.1396204</t>
  </si>
  <si>
    <t>https://doi.org/10.1016/j.chb.2017.07.026</t>
  </si>
  <si>
    <t xml:space="preserve">The study investigates LGBTQ youth's Facebook experiences without disaggregated analysis for TGD individuals, making it impossible to extract findings specific to this population.It scored low on the quality criteria quality assessment </t>
  </si>
  <si>
    <t>GENDER PLACE AND CULTURE</t>
  </si>
  <si>
    <t>0966-369X</t>
  </si>
  <si>
    <t>Computers in human behavior</t>
  </si>
  <si>
    <t>1626-1641</t>
  </si>
  <si>
    <t>0747-5632 (Print)</t>
  </si>
  <si>
    <t>Jenzen, Olu</t>
  </si>
  <si>
    <t>Becoming a Trans Synth Queen: YouTube, electronic music composition, and coming out</t>
  </si>
  <si>
    <t>237-244</t>
  </si>
  <si>
    <t>McConnell EA and Clifford A and Korpak AK and Phillips G 2nd and Birkett M</t>
  </si>
  <si>
    <t>https://doi.org/10.1080/14613808.2022.2143489</t>
  </si>
  <si>
    <t>PMC5719498</t>
  </si>
  <si>
    <t>MUSIC EDUCATION RESEARCH</t>
  </si>
  <si>
    <t>1461-3808</t>
  </si>
  <si>
    <t>60-73</t>
  </si>
  <si>
    <t>Cayari, Christopher</t>
  </si>
  <si>
    <t>S08</t>
  </si>
  <si>
    <t>Transition, Connection, Disconnection, and Social Media: Examining the Digital Lived Experiences of Transgender Individuals</t>
  </si>
  <si>
    <t>Safe spaces in online places: social media and LGBTQ youth</t>
  </si>
  <si>
    <t>https://doi.org/10.1080/15538605.2017.1310006</t>
  </si>
  <si>
    <t>https://doi.org/10.1080/2005615X.2017.1313482</t>
  </si>
  <si>
    <t xml:space="preserve">although the study includes two transgender participants, it does not perform any disaggregated analysis for TGD individuals, treating them indistinctly within the broader "LGBTQ" category throughout all data collection, analysis, and discussion phases. It scored low on the quality criteria quality assessment </t>
  </si>
  <si>
    <t>JOURNAL OF LGBTQ ISSUES IN COUNSELING</t>
  </si>
  <si>
    <t>2692-4951</t>
  </si>
  <si>
    <t>Belonging, responsibility and reflexivity: mediated intimacy among Finnish nonbinary and trans social media users</t>
  </si>
  <si>
    <t>68-87</t>
  </si>
  <si>
    <t>https://doi.org/10.1080/14680777.2023.2285710</t>
  </si>
  <si>
    <t>Cannon, Yuliya and Speedlin, Stacy and Avera, Joe and Robertson, Derek and Ingram, Mercedes and Prado, Ashely</t>
  </si>
  <si>
    <t>MULTICULTURAL EDUCATION REVIEW</t>
  </si>
  <si>
    <t>2005-615X</t>
  </si>
  <si>
    <t>117-128</t>
  </si>
  <si>
    <t>Lucero, Leanna</t>
  </si>
  <si>
    <t>FEMINIST MEDIA STUDIES</t>
  </si>
  <si>
    <t>1468-0777</t>
  </si>
  <si>
    <t>529-545</t>
  </si>
  <si>
    <t>Hokkanen, Julius</t>
  </si>
  <si>
    <t>S09</t>
  </si>
  <si>
    <t>It's a relatively good article, but it lacked a bit of a better separation between results and discussion, and it's also in a terrible template.</t>
  </si>
  <si>
    <t>Can Social Media Participation Enhance LGBTQ+ Youth Well-Being? Development of the Social Media Benefits Scale</t>
  </si>
  <si>
    <t>https://doi.org/10.1177/2056305121988931</t>
  </si>
  <si>
    <t>SOCIAL MEDIA + SOCIETY</t>
  </si>
  <si>
    <t>2056-3051</t>
  </si>
  <si>
    <t>Craig, Shelley L. and Eaton, Andrew D. and McInroy, Lauren B. and Leung, Vivian W. Y. and Krishnan, Sreedevi</t>
  </si>
  <si>
    <t>Queer Visibility: Supporting LGBT+ Selective Visibility on Social Media</t>
  </si>
  <si>
    <t>S10</t>
  </si>
  <si>
    <t>https://doi.org/10.1145/3173574.3173824</t>
  </si>
  <si>
    <t>1–12</t>
  </si>
  <si>
    <t>Carrasco, Matthew and Kerne, Andruid</t>
  </si>
  <si>
    <t>impression management;lgbt;networked public;privacy;queer;social media</t>
  </si>
  <si>
    <t>Challenging Getting Better Social Media Narratives With Intersectional Transgender Lived Experiences</t>
  </si>
  <si>
    <t>https://doi.org/10.1177/2056305120905365</t>
  </si>
  <si>
    <t>Haimson, Oliver L.</t>
  </si>
  <si>
    <t>S11</t>
  </si>
  <si>
    <t>Safe Spaces and Safe Places: Unpacking Technology-Mediated Experiences of Safety and Harm with Transgender People</t>
  </si>
  <si>
    <t>https://doi.org/10.1145/3274424</t>
  </si>
  <si>
    <t>Proc. ACM Hum.-Comput. Interact.</t>
  </si>
  <si>
    <t>Scheuerman, Morgan Klaus and Branham, Stacy M. and Hamidi, Foad</t>
  </si>
  <si>
    <t>gender identity;harm;intersectionality.;lgbtq;place;safe space;transgender</t>
  </si>
  <si>
    <t>Context collapse and anonymity among queer Reddit users</t>
  </si>
  <si>
    <t>https://doi.org/10.1177/1461444819890353</t>
  </si>
  <si>
    <t>Pouquissima análise espefícica de pessoas TGD</t>
  </si>
  <si>
    <t>S12</t>
  </si>
  <si>
    <t>Everybody Puts Their Whole Life on Facebook: Identity Management and the Online Social Networks of LGBTQ Youth</t>
  </si>
  <si>
    <t>https://pubmed.ncbi.nlm.nih.gov/29861439/</t>
  </si>
  <si>
    <t>5-21</t>
  </si>
  <si>
    <t>Triggs, Anthony Henry and Moller, Kristian and Neumayer, Christina</t>
  </si>
  <si>
    <t>https://doi.org/10.3390/ijerph15061078</t>
  </si>
  <si>
    <t>Although TGD participants are included in the sample, no TGD-specific findings are reported</t>
  </si>
  <si>
    <t>McConnell E and Néray B and Hogan B and Korpak A and Clifford A and Birkett M</t>
  </si>
  <si>
    <t>Adult;Disclosure;Female;Gender Identity;Humans;Male;Online Social Networking;Sexual and Gender Minorities/*psychology;Sexuality/*psychology;*Social Media;Young Adult</t>
  </si>
  <si>
    <t>PMC6025558</t>
  </si>
  <si>
    <t>Social Media as Social Transition Machinery</t>
  </si>
  <si>
    <t>https://doi.org/10.1145/3274332</t>
  </si>
  <si>
    <t>Haimson, Oliver</t>
  </si>
  <si>
    <t>facebook;identity transitions;lgbtq;life transitions;non-binary;online identity;social media;social network sites;transgender;tumblr</t>
  </si>
  <si>
    <t>Corrigendum to: Social media's role in support networks among LGBTQ adolescents: a qualitative study</t>
  </si>
  <si>
    <t>https://pubmed.ncbi.nlm.nih.gov/34823648/</t>
  </si>
  <si>
    <t>S13</t>
  </si>
  <si>
    <t>https://doi.org/10.1071/SH21110_CO</t>
  </si>
  <si>
    <t>A análise não aprofunda recortes específicos de pessoas TGD. Tenho que verificar melhor o titulo desse artigo pq parece que é uma errata.</t>
  </si>
  <si>
    <t>It focuses broadly on LGBT people, but also includes some sections for transgender people. Furthermore, it offers excellent contributions in terms of design implications.</t>
  </si>
  <si>
    <t>Sexual health</t>
  </si>
  <si>
    <t>1449-8987 (Electronic)</t>
  </si>
  <si>
    <t>Berger MN and Taba M and Marino JL and Lim MSC and Cooper SC and Lewis L and Albury K and Chung KSK and Bateson D and Skinner SR</t>
  </si>
  <si>
    <t>Australia</t>
  </si>
  <si>
    <t>That looks like me or something i can do: Affordances and constraints in the online identity work of US LGBTQ plus millennials</t>
  </si>
  <si>
    <t>https://doi.org/10.1002/asi.24217</t>
  </si>
  <si>
    <t>JOURNAL OF THE ASSOCIATION FOR INFORMATION SCIENCE AND TECHNOLOGY</t>
  </si>
  <si>
    <t>2330-1635</t>
  </si>
  <si>
    <t>S14</t>
  </si>
  <si>
    <t>1340-1351</t>
  </si>
  <si>
    <t>Kitzie, Vanessa</t>
  </si>
  <si>
    <t>Depathologizing Queer Adults' Dating App Use in Canada: Convergent Mixed Methods Study</t>
  </si>
  <si>
    <t>https://pubmed.ncbi.nlm.nih.gov/40700746/</t>
  </si>
  <si>
    <t>https://doi.org/10.2196/72452</t>
  </si>
  <si>
    <t>e72452</t>
  </si>
  <si>
    <t>Sinno J and Perez-Brumer A and Shuper PA and Grace D</t>
  </si>
  <si>
    <t>Humans;Canada;Male;Female;Adult;*Mobile Applications;*Sexual and Gender Minorities/psychology;Mental Health;Middle Aged;Surveys and Questionnaires;Young Adult;Interpersonal Relations;Sexual Behavior</t>
  </si>
  <si>
    <t>PMC12329389</t>
  </si>
  <si>
    <t>That's not necessarily for them: LGBTIQ plus young people, social media platform affordances and identity curation</t>
  </si>
  <si>
    <t>https://doi.org/10.1177/0163443719846612</t>
  </si>
  <si>
    <t>MEDIA CULTURE \&amp; SOCIETY</t>
  </si>
  <si>
    <t>0163-4437</t>
  </si>
  <si>
    <t>S15</t>
  </si>
  <si>
    <t>1261-1278</t>
  </si>
  <si>
    <t>Hanckel, Benjamin and Vivienne, Son and Byron, Paul and Robards, Brady and Churchill, Brendan</t>
  </si>
  <si>
    <t>S16</t>
  </si>
  <si>
    <t>Hey, I'm Having These Experiences: Tumblr Use and Young People's Queer (Dis)connections</t>
  </si>
  <si>
    <t>https://ijoc.org/index.php/ijoc/article/view/9677</t>
  </si>
  <si>
    <t>Excluded under EC2 because TGD participants were analyzed only within the broader LGBTIQ+ group, with no TGD-specific findings or design implications.</t>
  </si>
  <si>
    <t>INTERNATIONAL JOURNAL OF COMMUNICATION</t>
  </si>
  <si>
    <t>1932-8036</t>
  </si>
  <si>
    <t>2239-2259</t>
  </si>
  <si>
    <t>Byron, Paul and Robards, Brady and Hanckel, Benjamin and Vivienne, Son and Churchill, Brendan</t>
  </si>
  <si>
    <t>S17</t>
  </si>
  <si>
    <t>Although the study offers relevant insights into LGBTQ+ identity-related information practices, it addresses technology-mediated interactions broadly, treating search engines and social networking sites as equivalent objects of analysis, rather than focusing specifically on social media platforms.</t>
  </si>
  <si>
    <t>Leveraging Social Networks and Technology for HIV Prevention and Treatment With Transgender Women</t>
  </si>
  <si>
    <t>https://pubmed.ncbi.nlm.nih.gov/32539480/</t>
  </si>
  <si>
    <t>https://doi.org/10.1521/aeap.2020.32.2.83</t>
  </si>
  <si>
    <t>Engagement with Master and Alternative Narratives of Gender and Sexuality Among LGBTQ plus Youth in the Digital Age</t>
  </si>
  <si>
    <t>AIDS education and prevention : official publication of the International Society           for AIDS Education</t>
  </si>
  <si>
    <t>https://doi.org/10.1177/07435584221150223</t>
  </si>
  <si>
    <t>1943-2755 (Electronic)</t>
  </si>
  <si>
    <t>83-101</t>
  </si>
  <si>
    <t>Holloway IW and Jordan SP and Dunlap SL and Ritterbusch A and Reback CJ</t>
  </si>
  <si>
    <t>Adult;Female;Focus Groups;Gender Identity;HIV Infections/*drug therapy/*prevention &amp; control;Health Promotion/*methods;Humans;Los Angeles;Male;Qualitative Research;*Social Networking;*Telemedicine;Transgender Persons/*psychology;Transsexualism</t>
  </si>
  <si>
    <t>JOURNAL OF ADOLESCENT RESEARCH</t>
  </si>
  <si>
    <t>PMC7709895</t>
  </si>
  <si>
    <t>0743-5584</t>
  </si>
  <si>
    <t>413-447</t>
  </si>
  <si>
    <t>Barsigian, Logan L. and Howard, Cyrus and Davalos, Anakaren Quintero and Walsh, Abigail S. and Manago, Adriana M.</t>
  </si>
  <si>
    <t>S18</t>
  </si>
  <si>
    <t>Despite its broad LGBTIQ+ framing, TGD-identified participants comprise nearly half the sample and receive dedicated analysis around name management and platform constraints during transition.</t>
  </si>
  <si>
    <t>Trans Time: Safety, Privacy, and Content Warnings on a Transgender-Specific Social Media Site</t>
  </si>
  <si>
    <t>Entering Doors, Evading Traps: Benefits and Risks of Visibility During Transgender Coming Outs</t>
  </si>
  <si>
    <t>https://doi.org/10.1145/3415195</t>
  </si>
  <si>
    <t>https://doi.org/10.1145/3434181</t>
  </si>
  <si>
    <t>Haimson, Oliver L. and Buss, Justin and Weinger, Zu and Starks, Denny L. and Gorrell, Dykee and Baron, Briar Sweetbriar</t>
  </si>
  <si>
    <t>Pinter, Anthony T. and Scheuerman, Morgan Klaus and Brubaker, Jed R.</t>
  </si>
  <si>
    <t>content moderation;content warnings;non-binary;online communities;privacy;safety;social media;trans time;transgender</t>
  </si>
  <si>
    <t>identity transitions;lgbtq;online identity;qualitative work;sexual and gender minorities;social media;social networking sites</t>
  </si>
  <si>
    <t>S19</t>
  </si>
  <si>
    <t>What happens online stays online? - Social media dependency, online support behavior and offline effects for LGBT</t>
  </si>
  <si>
    <t>https://doi.org/10.1016/j.chb.2018.12.011</t>
  </si>
  <si>
    <t>No disaggregated TGD analysis; study outside the review scope, focusing much more on health</t>
  </si>
  <si>
    <t>91-98</t>
  </si>
  <si>
    <t>Han, Xi and Han, Wenting and Qu, Jiabin and Li, Bei and Zhu, Qinghua</t>
  </si>
  <si>
    <t>Transgender Adolescents' Uses of Social Media for Social Support</t>
  </si>
  <si>
    <t>https://pubmed.ncbi.nlm.nih.gov/31690534/</t>
  </si>
  <si>
    <t>S20</t>
  </si>
  <si>
    <t>https://doi.org/10.1016/j.jadohealth.2019.08.011</t>
  </si>
  <si>
    <t>Although it includes a population with gender dysphoria (even if only one person in the sample), the analysis focuses primarily on sexual orientation. Furthermore, it treats gender and sexuality indiscriminately, without delving into specific experiences of gender identity. It received a low score in the quality control criteria.</t>
  </si>
  <si>
    <t>The Journal of adolescent health : official publication of the Society for           Adolescent Medicine</t>
  </si>
  <si>
    <t>1879-1972 (Electronic)</t>
  </si>
  <si>
    <t>275-280</t>
  </si>
  <si>
    <t>Selkie E and Adkins V and Masters E and Bajpai A and Shumer D</t>
  </si>
  <si>
    <t>Adolescent;Gender Identity;Humans;Interviews as Topic;Qualitative Research;Social Media/*statistics &amp; numerical data;*Social Support;Transgender Persons/*psychology;*Transsexualism;Male;Female</t>
  </si>
  <si>
    <t>S21</t>
  </si>
  <si>
    <t>Examining Social Media Experiences and Attitudes Toward Technology-Based Interventions for Reducing Social Isolation Among LGBTQ Youth Living in Rural United States: An Online Qualitative Study</t>
  </si>
  <si>
    <t>https://pubmed.ncbi.nlm.nih.gov/35832658/</t>
  </si>
  <si>
    <t>https://doi.org/10.3389/fdgth.2022.900695</t>
  </si>
  <si>
    <t>Frontiers in digital health</t>
  </si>
  <si>
    <t>2673-253X (Electronic)</t>
  </si>
  <si>
    <t>Escobar-Viera CG and Choukas-Bradley S and Sidani J and Maheux AJ and Roberts SR and Rollman BL</t>
  </si>
  <si>
    <t>PMC9271672</t>
  </si>
  <si>
    <t>S22</t>
  </si>
  <si>
    <t>Although focusing more on health and social issues, the study reveals several aspects that can provide insights at the design level.</t>
  </si>
  <si>
    <t>Gendering algorithms in social media</t>
  </si>
  <si>
    <t>https://doi.org/10.1145/3468507.3468512</t>
  </si>
  <si>
    <t>Analise e evidencia que TGD são desproporcionalmente afetados por "misgendering algorítmico", que é quando os sistemas de inferência de gênero atribuem gênero incorreto com base em nome, linguagem ou comportamento</t>
  </si>
  <si>
    <t>SIGKDD Explor. Newsl.</t>
  </si>
  <si>
    <t>1931-0145</t>
  </si>
  <si>
    <t>24–31</t>
  </si>
  <si>
    <t>Fosch-Villaronga, Eduard and Poulsen, Adam and S\o{}raa, Roger A. and Custers, Bart</t>
  </si>
  <si>
    <t>algorithmic bias;discrimination;gender;gender classifier;gender stereotyping;inference;lgbtqai+;privacy;social media;twitter</t>
  </si>
  <si>
    <t>S23</t>
  </si>
  <si>
    <t>Online socializing among men who have sex with men and transgender people in Nairobi and Johannesburg and implications for public health-related research and health promotion: an analysis of qualitative and respondent-driven sampling survey data.</t>
  </si>
  <si>
    <t>https://pubmed.ncbi.nlm.nih.gov/33000904/</t>
  </si>
  <si>
    <t>https://doi.org/10.1002/jia2.25603</t>
  </si>
  <si>
    <t>The study groups MSM and transgender individuals indistinctly across all analyses, offering no TGD-specific findings. The authors explicitly acknowledge that the survey lacked the power to explore issues specific to transgender participants.</t>
  </si>
  <si>
    <t>Journal of the International AIDS Society</t>
  </si>
  <si>
    <t>1758-2652 (Electronic)</t>
  </si>
  <si>
    <t>e25603</t>
  </si>
  <si>
    <t>Fearon E and Bourne A and Tenza S and Palanee-Phillips T and Kabuti R and Weatherburn P and Nutland W and Kimani J and Smith AD</t>
  </si>
  <si>
    <t>Adolescent;Adult;Female;*Health Promotion;*Homosexuality, Male;Humans;Kenya;Logistic Models;Male;Middle Aged;Motivation;*Public Health;Risk Factors;*Sexual and Gender Minorities;Sexually Transmitted Diseases/prevention &amp; control;*Social Behavior;*Social Media;South Africa;Syphilis;*Transgender Persons</t>
  </si>
  <si>
    <t>PMC7527758</t>
  </si>
  <si>
    <t>S24</t>
  </si>
  <si>
    <t>SNS and the Lived Experiences of Queer Youth</t>
  </si>
  <si>
    <t>https://doi.org/10.1145/3369457.3369497</t>
  </si>
  <si>
    <t>Reports of gender identity disorders appear sporadically, without analytical disaggregation by gender identity.</t>
  </si>
  <si>
    <t>Hooking up with friends: LGBTQ plus young people, dating apps, friendship and safety</t>
  </si>
  <si>
    <t>https://doi.org/10.1177/0163443720972312</t>
  </si>
  <si>
    <t>376–380</t>
  </si>
  <si>
    <t>Armstrong, Tommaso and Leong, Tuck Wah</t>
  </si>
  <si>
    <t>LGBTQIA+;SNS;lived experiences;queer</t>
  </si>
  <si>
    <t>497-514</t>
  </si>
  <si>
    <t>Byron, Paul and Albury, Kath and Pym, Tinonee</t>
  </si>
  <si>
    <t>S25</t>
  </si>
  <si>
    <t>How social is social media for transgender and gender-diverse youth? Association of online social experiences with internalizing mental health problems</t>
  </si>
  <si>
    <t>https://pubmed.ncbi.nlm.nih.gov/38493430/</t>
  </si>
  <si>
    <t>https://doi.org/10.1007/s00787-024-02396-9</t>
  </si>
  <si>
    <t>European child &amp; adolescent psychiatry</t>
  </si>
  <si>
    <t>1435-165X (Electronic)</t>
  </si>
  <si>
    <t>3503-3516</t>
  </si>
  <si>
    <t>Herrmann L and Barkmann C and Bindt C and Hohmann S and Fahrenkrug S and Becker-Hebly I</t>
  </si>
  <si>
    <t>Germany</t>
  </si>
  <si>
    <t>Humans;Adolescent;Male;Female;*Social Media;*Transgender Persons/psychology;Child;COVID-19/psychology/epidemiology;Germany;Cyberbullying/psychology;Gender Dysphoria/psychology</t>
  </si>
  <si>
    <t>PMC11564277</t>
  </si>
  <si>
    <t>I made myself a new safety bubble: Building trans virtual homeplaces</t>
  </si>
  <si>
    <t>https://doi.org/10.1177/13678779251322782</t>
  </si>
  <si>
    <t>I still want to know they're not terrible people: Negotiating queer community on dating apps</t>
  </si>
  <si>
    <t>S26</t>
  </si>
  <si>
    <t>https://doi.org/10.1177/1367877920959332</t>
  </si>
  <si>
    <t>INTERNATIONAL JOURNAL OF CULTURAL STUDIES</t>
  </si>
  <si>
    <t>1367-8779</t>
  </si>
  <si>
    <t>725-740</t>
  </si>
  <si>
    <t>Jaaksi, Vilja</t>
  </si>
  <si>
    <t>398-413</t>
  </si>
  <si>
    <t>Pym, Tinonee and Byron, Paul and Albury, Kath</t>
  </si>
  <si>
    <t>Fala muito superficialmente sobre TGD, mas menciona, especialmente no final. O método também não ficou claro.</t>
  </si>
  <si>
    <t>Revisiting Gendered Web Forms: An Evaluation of Gender Inputs with Non-Binary People</t>
  </si>
  <si>
    <t>https://doi.org/10.1145/3411764.3445742</t>
  </si>
  <si>
    <t>Scheuerman, Morgan Klaus and Jiang, Aaron and Spiel, Katta and Brubaker, Jed R.</t>
  </si>
  <si>
    <t>Gender;input fields;survey methodology;user interface design;web forms</t>
  </si>
  <si>
    <t>S27</t>
  </si>
  <si>
    <t>Twitter as Safe Space for Self-Disclosure among Malaysian LGBTQ Youths</t>
  </si>
  <si>
    <t>https://doi.org/10.17576/JKMJC-2020-3601-25</t>
  </si>
  <si>
    <t>JURNAL KOMUNIKASI-MALAYSIAN JOURNAL OF COMMUNICATION</t>
  </si>
  <si>
    <t>2289-151X</t>
  </si>
  <si>
    <t>436-448</t>
  </si>
  <si>
    <t>Tuah, Khadijah Mohamad and Mazlan, Ummu Syafiqah</t>
  </si>
  <si>
    <t>Não aprofunda especificidades de TGD</t>
  </si>
  <si>
    <t>Tumblr was a trans technology: the meaning, importance, history, and future of trans technologies</t>
  </si>
  <si>
    <t>https://doi.org/10.1080/14680777.2019.1678505</t>
  </si>
  <si>
    <t>345-361</t>
  </si>
  <si>
    <t>Haimson, Oliver L. and Dame-Griff, Avery and Capello, Elias and Richter, Zahari</t>
  </si>
  <si>
    <t>S28</t>
  </si>
  <si>
    <t>The article creates a scale of well-being on social media for young LGBT people, and to do so, it collects data directly from this population through questionnaires. However, this data is directed towards positive experiences, meaning it's not really an investigated experience, because it's "already known" what that experience would be. Furthermore, there is no disaggregated analysis for participants with gender dysphoria, and on top of that, the score on the questionnaire was lower than expected.</t>
  </si>
  <si>
    <t>as redes não são só contexto do estudo, mas tbm objeto central da análise. mostra algumas praticas de uso, estrategias de segurança...</t>
  </si>
  <si>
    <t>Virtually Trans: an Australian Facebook group supporting gender diverse adults' health and wellbeing</t>
  </si>
  <si>
    <t>https://pubmed.ncbi.nlm.nih.gov/32577721/</t>
  </si>
  <si>
    <t>https://doi.org/10.1093/heapro/daaa061</t>
  </si>
  <si>
    <t>Health promotion international</t>
  </si>
  <si>
    <t>1460-2245 (Electronic)</t>
  </si>
  <si>
    <t>196-205</t>
  </si>
  <si>
    <t>Dowers E and Kingsley J and White C</t>
  </si>
  <si>
    <t>England</t>
  </si>
  <si>
    <t>Adult;Australia;Gender Identity;Humans;Peer Group;*Social Media;*Transgender Persons;Male;Female</t>
  </si>
  <si>
    <t>S29</t>
  </si>
  <si>
    <t>Media pressure and body satisfaction in transgender and gender diverse adolescents: A cross-sectional mediation analysis</t>
  </si>
  <si>
    <t>https://doi.org/10.1080/15532739.2025.2470417</t>
  </si>
  <si>
    <t>INTERNATIONAL JOURNAL OF TRANSGENDER HEALTH</t>
  </si>
  <si>
    <t>2689-5269</t>
  </si>
  <si>
    <t>Wehrmann, Wiebke and Herrmann, Lena and Vogel, Felix and Barkmann, Claus and Fahrenkrug, Saskia and Becker-Hebly, Inga</t>
  </si>
  <si>
    <t>S30</t>
  </si>
  <si>
    <t>Mediation of transgender impression management between transgender privacy paradox and Trans Facebook Persona: A trans perspective</t>
  </si>
  <si>
    <t>https://doi.org/10.1016/j.chb.2023.107700</t>
  </si>
  <si>
    <t>Gadgil, Guruprasad and Prybutok, Gayle and Prybutok, Victor</t>
  </si>
  <si>
    <t>S31</t>
  </si>
  <si>
    <t>Nothing that I was specifically looking for: LGBTQ+ youth and intentional sexual health information seeking</t>
  </si>
  <si>
    <t>https://doi.org/10.1080/19361653.2022.2077883</t>
  </si>
  <si>
    <t>JOURNAL OF LGBT YOUTH</t>
  </si>
  <si>
    <t>1936-1653</t>
  </si>
  <si>
    <t>818-835</t>
  </si>
  <si>
    <t>Delmonaco, Daniel and Haimson, Oliver L.</t>
  </si>
  <si>
    <t>Spanish LGBTQ+ Youth and the Role of Online Networks During the First Wave of Covid-19</t>
  </si>
  <si>
    <t>https://doi.org/10.17645/si.v10i2.4950</t>
  </si>
  <si>
    <t>S32</t>
  </si>
  <si>
    <t>The article provides evidence of systematic misgendering of non-binary individuals and highlights the implications of binary gender classifiers for platform design.</t>
  </si>
  <si>
    <t>SOCIAL INCLUSION</t>
  </si>
  <si>
    <t>185-194</t>
  </si>
  <si>
    <t>Lucas Platero, R. and Angel Lopez-Saez, Miguel</t>
  </si>
  <si>
    <t>perfeito</t>
  </si>
  <si>
    <t>S33</t>
  </si>
  <si>
    <t>Transgender identity management across social media platforms</t>
  </si>
  <si>
    <t>Identity-specific experiences were not deeply explored, and the study provides limited information about intersections and subgroup differences, preventing the extraction of TGD-specific findings.</t>
  </si>
  <si>
    <t>https://doi.org/10.1177/01634437211027106</t>
  </si>
  <si>
    <t>22-38</t>
  </si>
  <si>
    <t>Buss, Justin and Le, Hayden and Haimson, Oliver L.</t>
  </si>
  <si>
    <t>S34</t>
  </si>
  <si>
    <t>The study also examines trans and non-binary experiences on dating apps, focusing on community access and identity management, with explicit attention to TGD participants.</t>
  </si>
  <si>
    <t>Paid to live my own life: Trans women influencers, self-governance, and platformization of creative works in Thailand</t>
  </si>
  <si>
    <t>https://doi.org/10.1177/13678779251336476</t>
  </si>
  <si>
    <t>1103-1119</t>
  </si>
  <si>
    <t>Kirdnark, Treepon</t>
  </si>
  <si>
    <t>S35</t>
  </si>
  <si>
    <t>Queer and trans influential peers: Negotiating platforms for community care</t>
  </si>
  <si>
    <t>https://doi.org/10.1177/14614448251356454</t>
  </si>
  <si>
    <t>Byron, Paul and Dejmanee, Tisha</t>
  </si>
  <si>
    <t>S36</t>
  </si>
  <si>
    <t>Social media's role in support networks among LGBTQ adolescents: a qualitative study</t>
  </si>
  <si>
    <t>https://pubmed.ncbi.nlm.nih.gov/34706814/</t>
  </si>
  <si>
    <t>https://doi.org/10.1071/SH21110</t>
  </si>
  <si>
    <t>duplicate</t>
  </si>
  <si>
    <t>421-431</t>
  </si>
  <si>
    <t>Adolescent;Bisexuality/psychology;Female;Gender Identity;Humans;Sexual Behavior/psychology;*Sexual and Gender Minorities;*Social Media</t>
  </si>
  <si>
    <t>S37</t>
  </si>
  <si>
    <t>A populacao TGD é incluida na amostra, mas é extremamente generalista a análise de suas perspectivas...</t>
  </si>
  <si>
    <t>S38</t>
  </si>
  <si>
    <t>Queer Joy on Social Media: Exploring the Expression and Facilitation of Queer Joy in Online Platforms</t>
  </si>
  <si>
    <t>https://doi.org/10.1145/3706598.3713592</t>
  </si>
  <si>
    <t>The study is in the health field, but it has great insights into the perspectives of transgender people on social media.</t>
  </si>
  <si>
    <t>O artigo é ótimo, apesar de poucas pessoas TGD na amostra.</t>
  </si>
  <si>
    <t>Sexual and gender identity work on social media</t>
  </si>
  <si>
    <t>https://doi.org/10.1111/soc4.13073</t>
  </si>
  <si>
    <t>Steeds, Madeleine and Clinch, Sarah and Are, Carolina and Brown, Genavee and Dalton, Ben and Webster, Lexi and Wilson, Alice and Woolley, Dawn</t>
  </si>
  <si>
    <t>queer;joy;social media;lgbtq+</t>
  </si>
  <si>
    <t>SOCIOLOGY COMPASS</t>
  </si>
  <si>
    <t>1751-9020</t>
  </si>
  <si>
    <t>Colosi, Rachela and Cowen, Nick and Todd, Megan</t>
  </si>
  <si>
    <t>S39</t>
  </si>
  <si>
    <t>Queer lives in the social media prism: Precarious LGBTQIA plus visibility and lateral surveillance in Azerbaijan</t>
  </si>
  <si>
    <t>https://doi.org/10.1177/13548565251383672</t>
  </si>
  <si>
    <t>CONVERGENCE-THE INTERNATIONAL JOURNAL OF RESEARCH INTO NEW MEDIA TECHNOLOGIES</t>
  </si>
  <si>
    <t>1354-8565</t>
  </si>
  <si>
    <t>Seyidov, Ilgar and Pentzold, Christian</t>
  </si>
  <si>
    <t>S40</t>
  </si>
  <si>
    <t>É legal, mas tem até hétero no meio dos participantes da pesquisa...</t>
  </si>
  <si>
    <t>The thematic analyses are reported for the LGBTQ group as a whole. There is no comparative analysis or specific section contrasting transgender/genderqueer participants with cisgender sexual minorities. Even with 45% transgender and gender-diverse (TGD) individuals in the sample, the study treats the group as a single unit, but still gives voice to the tgd population on the sample</t>
  </si>
  <si>
    <t>Queerness and Mental Health in India: An Intersectional Approach to Sensitive Social Media Disclosures</t>
  </si>
  <si>
    <t>https://doi.org/10.1177/20563051241302145</t>
  </si>
  <si>
    <t>S41</t>
  </si>
  <si>
    <t>Queer youth and critical sexuality education pedagogies within networked publics: implications for school-based practice</t>
  </si>
  <si>
    <t>Pinch, Annika and Birnholtz, Jeremy and Chaudary, Jatin and Tripathi, Preeti and Rawat, Shruta and Dange, Alpana and Kornfield, Rachel</t>
  </si>
  <si>
    <t>https://doi.org/10.1080/17508487.2024.2388705</t>
  </si>
  <si>
    <t>The analysis is purely quantitative but offers valuable analytical perspectives on gender identity, particularly by comparing usage between cisgender and transgender individuals.</t>
  </si>
  <si>
    <t>CRITICAL STUDIES IN EDUCATION</t>
  </si>
  <si>
    <t>1750-8487</t>
  </si>
  <si>
    <t>277-294</t>
  </si>
  <si>
    <t>Shannon, Barrie</t>
  </si>
  <si>
    <t>S42</t>
  </si>
  <si>
    <t>The management of LGBTQ plus identities on social media: A student perspective</t>
  </si>
  <si>
    <t>https://doi.org/10.1177/1461444820981009</t>
  </si>
  <si>
    <t>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</si>
  <si>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Focuses on university transition rather than social media experiences.</t>
  </si>
  <si>
    <t>Social Media Creations of Community and Gender Minority Stress in Transgender and Gender-Diverse Adults</t>
  </si>
  <si>
    <t>https://doi.org/10.3390/socsci13090483</t>
  </si>
  <si>
    <t>1729-1750</t>
  </si>
  <si>
    <t>Talbot, V, Catherine and Talbot, Amelia and Roe, Danielle J. and Briggs, Pam</t>
  </si>
  <si>
    <t>SOCIAL SCIENCES-BASEL</t>
  </si>
  <si>
    <t>Aldridge, Zoe and McDermott, Hilary and Thorne, Nat and Arcelus, Jon and Witcomb, Gemma L.</t>
  </si>
  <si>
    <t>S43</t>
  </si>
  <si>
    <t>Queering algorithms: LGBTQ plus content creators' non-conforming and non-confronting workarounds to digital normativity in China</t>
  </si>
  <si>
    <t>Social media use and experiences among transgender and gender diverse adolescents</t>
  </si>
  <si>
    <t>https://doi.org/10.1177/13548565241299281</t>
  </si>
  <si>
    <t>https://pubmed.ncbi.nlm.nih.gov/38328588/</t>
  </si>
  <si>
    <t>Vou remover depois, pouco tgd</t>
  </si>
  <si>
    <t>https://doi.org/10.1080/26895269.2023.2252410</t>
  </si>
  <si>
    <t>Shi, Jiannan</t>
  </si>
  <si>
    <t>International journal of transgender health</t>
  </si>
  <si>
    <t>2689-5277 (Electronic)</t>
  </si>
  <si>
    <t>36-49</t>
  </si>
  <si>
    <t>Herrmann L and Bindt C and Hohmann S and Becker-Hebly I</t>
  </si>
  <si>
    <t>S44</t>
  </si>
  <si>
    <t>We belong to something beautiful: Julie Vu's and Madeline Stuart's use of minority identity as a popular feminist self-branding strategy on Instagram</t>
  </si>
  <si>
    <t>PMC10846420</t>
  </si>
  <si>
    <t>https://doi.org/10.1080/1369118X.2021.1889638</t>
  </si>
  <si>
    <t>Focuses on self-branding/digital celebrity rather than TGD social media experiences; analyzes public social media content without direct data from TGD participants.</t>
  </si>
  <si>
    <t>INFORMATION COMMUNICATION \&amp; SOCIETY</t>
  </si>
  <si>
    <t>1369-118X</t>
  </si>
  <si>
    <t>1790-1807</t>
  </si>
  <si>
    <t>Raun, Tobias and Christensen-Stryno, Maria Bee</t>
  </si>
  <si>
    <t>The power of connection: Resource and responsibility in the virtual community experience of Italian trans and gender-diverse activists</t>
  </si>
  <si>
    <t>https://doi.org/10.1002/casp.2859</t>
  </si>
  <si>
    <t>S45</t>
  </si>
  <si>
    <t>JOURNAL OF COMMUNITY \&amp; APPLIED SOCIAL PSYCHOLOGY</t>
  </si>
  <si>
    <t>1052-9284</t>
  </si>
  <si>
    <t>Compare, Christian and Lorusso, Maric Martin and Albanesi, Cinzia</t>
  </si>
  <si>
    <t>They use social media as a dissemination and access strategy and compare the chatbot with other strategies on social networks. They analyze engagement and adherence results to PrEP, not digital social experiences. In other words, the networks are only the means of analysis, not the object of study itself.</t>
  </si>
  <si>
    <t xml:space="preserve">São tres cenarios testados e dois deles têm relação com redes sociais: redes em si e app de encontro. </t>
  </si>
  <si>
    <t>S46</t>
  </si>
  <si>
    <t>It does not investigate "what it's like to live" or "how the user feels" when using social media; it only measures variables and statistical associations between social media use and mental health. It received an insufficient score on the QA.</t>
  </si>
  <si>
    <t>Tumblr didn't really give me sex ed, it more gave me like, Queer ed': how 2SLGBTQ+people with developmental disabilities use social media for information</t>
  </si>
  <si>
    <t>https://doi.org/10.1080/14681811.2024.2436998</t>
  </si>
  <si>
    <t>SEX EDUCATION-SEXUALITY SOCIETY AND LEARNING</t>
  </si>
  <si>
    <t>1468-1811</t>
  </si>
  <si>
    <t>Martino, Alan Santinele and Tri, Thomas and Kinitz, David J. and Brennand, Erin and Hughes, Alicia and Peace, Lindsay</t>
  </si>
  <si>
    <t>Meu artigo de controle</t>
  </si>
  <si>
    <t>S47</t>
  </si>
  <si>
    <t>Although more focused on the social scope (musical, specifically), the analysis examines the experiences of transgender people on social media in affirming their identity and helping them to understand themselves as trans musicians.</t>
  </si>
  <si>
    <t>What are you doing, TikTok? : How Marginalized Social Media Users Perceive, Theorize, and Prove Shadowbanning</t>
  </si>
  <si>
    <t>https://doi.org/10.1145/3637431</t>
  </si>
  <si>
    <t>Não encontrei especificidades de análise em torno de TGD. Será recusado no segundo filtro.</t>
  </si>
  <si>
    <t>Delmonaco, Daniel and Mayworm, Samuel and Thach, Hibby and Guberman, Josh and Augusta, Aurelia and Haimson, Oliver L.</t>
  </si>
  <si>
    <t>algorithmic folks theories;collaborative algorithm investigation;content moderation;marginalization;shadowbanning;social media</t>
  </si>
  <si>
    <t>S48</t>
  </si>
  <si>
    <t>Primarily an information systems study validating a Facebook privacy model rather than examining TGD lived experiences. Included because it identifies mandatory social media use, privacy aversion, and impression management as survival strategies relevant to RQ1/RQ2.</t>
  </si>
  <si>
    <t>É muito superciail, com uma amostre minuscula e nao traz nada muito novo.</t>
  </si>
  <si>
    <t>S49</t>
  </si>
  <si>
    <t>S50</t>
  </si>
  <si>
    <t>Despite being broad in its coverage of LGBTQ+ issues, the article addresses the topic well and devotes a significant portion of the analysis specifically to the perspectives of TGD participants</t>
  </si>
  <si>
    <t>S51</t>
  </si>
  <si>
    <t>Social Media as Marginalisation Machine: The Trans Desire for Solidarity Spaces</t>
  </si>
  <si>
    <t>https://doi.org/10.1145/3706598.3713136</t>
  </si>
  <si>
    <t>Perfeito</t>
  </si>
  <si>
    <t>Muito bom!!!!!!!!!!!!!!!</t>
  </si>
  <si>
    <t>Kender, Kay and Spiel, Katta</t>
  </si>
  <si>
    <t>Social media;third places;transgender;LGBTQ;neurodivergence;speculative participatory design;design interviews.</t>
  </si>
  <si>
    <t>S52</t>
  </si>
  <si>
    <t>S53</t>
  </si>
  <si>
    <t>While the study primarily focuses on disclosure theory and intersectional stigma, it generates valuable empirical insights into how TGD and queer individuals use and perceive social media platforms to manage disclosure. These contributions justify inclusion, although platform design remains a secondary focus</t>
  </si>
  <si>
    <t>S54</t>
  </si>
  <si>
    <t>Social Media Experiences of LGBTQ plus People: Enabling Feelings of Belonging</t>
  </si>
  <si>
    <t>https://doi.org/10.1007/s11245-023-09994-3</t>
  </si>
  <si>
    <t>TOPOI-AN INTERNATIONAL REVIEW OF PHILOSOPHY</t>
  </si>
  <si>
    <t>0167-7411</t>
  </si>
  <si>
    <t>617-630</t>
  </si>
  <si>
    <t>Eickers, Gen</t>
  </si>
  <si>
    <t>S55</t>
  </si>
  <si>
    <t>The study analyzes LGBTQ+ experiences broadly and provides no participant demographics or gender identity information, preventing the extraction of TGD-specific evidence. Therefore, it falls outside the scope of this review.</t>
  </si>
  <si>
    <t>S56</t>
  </si>
  <si>
    <t>S57</t>
  </si>
  <si>
    <t>Esse artigo faz exatamente  o que pensei sobre análise especifica de pessoas TGD dentro do spectro LGBT</t>
  </si>
  <si>
    <t>S58</t>
  </si>
  <si>
    <t>The quest for meaningful connections: Navigating scripted sexuality on Instagram amid Grindr and Tinder fatigue</t>
  </si>
  <si>
    <t>https://doi.org/10.1177/14614448241266782</t>
  </si>
  <si>
    <t>É interessante, mas acaba se distanciando um pouco de redes sociais especificamente</t>
  </si>
  <si>
    <t>The sample was predominantly cisgender, and the few TGD participants were aggregated under the umbrella term queer men without a disaggregated analysis of their gender-specific experiences</t>
  </si>
  <si>
    <t>Suenzo, Facundo N.</t>
  </si>
  <si>
    <t>Tem pessoas TGD na amostra, mas não tem análise específica quanto a esse subgrupo.</t>
  </si>
  <si>
    <t>S59</t>
  </si>
  <si>
    <t>This is the kind of experience I want to have: Supporting the experiences of queer young men on social platforms through design</t>
  </si>
  <si>
    <t>https://doi.org/10.1145/3643834.3661564</t>
  </si>
  <si>
    <t>The authors acknowledge that findings are not disaggregated by subgroup, preventing identification of TGD-specific experiences, and trans participants are not analyzed separately</t>
  </si>
  <si>
    <t>1681–1700</t>
  </si>
  <si>
    <t>Armstrong, Tommaso and Leong, Tuck Wah and Buckingham Shum, Simon and van den Hoven, Elise</t>
  </si>
  <si>
    <t>LGBTQ+;co-design;dating apps;queer;social media;young people</t>
  </si>
  <si>
    <t>S60</t>
  </si>
  <si>
    <t>Findings are reported as an undifferentiated "2SLGBTQ+" group, but Table 1 individually discloses gender for each participant, showing 10/12 are TGD — making TGD-specific quotes traceable. Also the first article in the corpus intersecting TGD with developmental disability, adding originality.</t>
  </si>
  <si>
    <t>S61</t>
  </si>
  <si>
    <t>The article reports that content regarding healthcare for trans people, or images showing gender-affirming surgery scars, was subject to shadowbanning—a finding we consider significant in terms of TGD.</t>
  </si>
  <si>
    <t>S62</t>
  </si>
  <si>
    <t>The article presents three aspects of political subjectivity: belonging, responsibility, and reflection, showing that platforms limit gender expression. The text also mentions the collapse of context.</t>
  </si>
  <si>
    <t>Poucas pessoas tgd na amostra, mas considera suas perspectivas na analise</t>
  </si>
  <si>
    <t>S63</t>
  </si>
  <si>
    <t>It treats apps like social networks and has several justifications for doing so.</t>
  </si>
  <si>
    <t>Esse artigo fala exatamente sobre a questão do design de plataformas sociais poderia ser melhorado para
ser mais favorável a pessoas LGBT. A questão aqui é apenas o foco. Os autores mencionam claramente o termo "trans", para além do termo "queer" e "LGBT" e há 4 participantes trans no estudo.</t>
  </si>
  <si>
    <t>S64</t>
  </si>
  <si>
    <t>S65</t>
  </si>
  <si>
    <t>S66</t>
  </si>
  <si>
    <t xml:space="preserve">Focuses on body satisfaction rather than online experiences. Social media is only contextual, and the media pressure measure is not specific to social media. </t>
  </si>
  <si>
    <t>S67</t>
  </si>
  <si>
    <t>It treats the platform as the "economic infrastructure of a precarious labor regime", viewed through a Marxist lens. TGD are included as dimension of labor exploiration, rather than as a study of platform usage or design.</t>
  </si>
  <si>
    <t>S68</t>
  </si>
  <si>
    <t>S69</t>
  </si>
  <si>
    <t>Although the study includes TGD participants, findings are aggregated across the broader LGBTQ+ sample without TGD-specific analysis. Evidence directly attributable to TGD participants is limited to a few isolated quotes.</t>
  </si>
  <si>
    <t>S70</t>
  </si>
  <si>
    <t>The study analyzes LGBTQIA+ experiences as a single group, without disaggregating findings for trans participants. The two transqueer participants are integrated into broader themes, with no TGD-specific analysis.</t>
  </si>
  <si>
    <t>S71</t>
  </si>
  <si>
    <t>S72</t>
  </si>
  <si>
    <t>Pouca análise específica de tgd, mas eles estao inclusos na população entrevistada</t>
  </si>
  <si>
    <t>É um artigo muito teórico, mas fala sobre um conceito chave e importante sobre vivências de pessoas trans (apesar de haver poucas pessoas TGD que responderam a pesquisa) em redes sociais.</t>
  </si>
</sst>
</file>

<file path=xl/styles.xml><?xml version="1.0" encoding="utf-8"?>
<styleSheet xmlns="http://schemas.openxmlformats.org/spreadsheetml/2006/main" xmlns:x14ac="http://schemas.microsoft.com/office/spreadsheetml/2009/9/ac" xmlns:mc="http://schemas.openxmlformats.org/markup-compatibility/2006">
  <fonts count="39">
    <font>
      <sz val="10.0"/>
      <color rgb="FF000000"/>
      <name val="Arial"/>
      <scheme val="minor"/>
    </font>
    <font>
      <b/>
      <color theme="1"/>
      <name val="Roboto"/>
    </font>
    <font>
      <b/>
      <color rgb="FFFFFFFF"/>
      <name val="Roboto"/>
    </font>
    <font>
      <color theme="1"/>
      <name val="Arial"/>
    </font>
    <font>
      <b/>
      <color rgb="FF434343"/>
      <name val="Roboto"/>
    </font>
    <font>
      <color rgb="FF434343"/>
      <name val="Roboto"/>
    </font>
    <font>
      <color rgb="FFFF0000"/>
      <name val="Roboto"/>
    </font>
    <font>
      <color theme="1"/>
      <name val="Roboto"/>
    </font>
    <font>
      <u/>
      <color rgb="FF434343"/>
      <name val="Roboto"/>
    </font>
    <font>
      <u/>
      <color rgb="FF434343"/>
      <name val="Roboto"/>
    </font>
    <font>
      <u/>
      <color rgb="FF434343"/>
      <name val="Roboto"/>
    </font>
    <font>
      <color rgb="FF000000"/>
      <name val="Roboto"/>
    </font>
    <font>
      <color rgb="FF11734B"/>
      <name val="Arial"/>
    </font>
    <font>
      <u/>
      <color rgb="FF434343"/>
      <name val="Roboto"/>
    </font>
    <font>
      <u/>
      <color rgb="FF434343"/>
      <name val="Roboto"/>
    </font>
    <font>
      <color rgb="FF4C535E"/>
      <name val="Roboto"/>
    </font>
    <font>
      <color rgb="FF363F32"/>
      <name val="Roboto"/>
    </font>
    <font>
      <u/>
      <color rgb="FF0000FF"/>
      <name val="Roboto"/>
    </font>
    <font>
      <u/>
      <color rgb="FF0000FF"/>
      <name val="Roboto"/>
    </font>
    <font>
      <color rgb="FF000000"/>
      <name val="Arial"/>
    </font>
    <font>
      <u/>
      <color rgb="FF000000"/>
      <name val="Roboto"/>
    </font>
    <font>
      <u/>
      <color rgb="FF434343"/>
      <name val="Roboto"/>
    </font>
    <font>
      <u/>
      <color rgb="FF434343"/>
      <name val="Roboto"/>
    </font>
    <font>
      <u/>
      <color rgb="FF434343"/>
      <name val="Roboto"/>
    </font>
    <font>
      <color rgb="FF383A3C"/>
      <name val="Roboto"/>
    </font>
    <font>
      <u/>
      <color rgb="FF434343"/>
      <name val="Roboto"/>
    </font>
    <font>
      <u/>
      <color rgb="FF000000"/>
      <name val="Roboto"/>
    </font>
    <font>
      <color rgb="FF000000"/>
      <name val="Arial"/>
      <scheme val="minor"/>
    </font>
    <font>
      <color rgb="FFB10202"/>
      <name val="Arial"/>
    </font>
    <font>
      <color rgb="FF2D2D2D"/>
      <name val="Roboto"/>
    </font>
    <font>
      <color rgb="FF444D5F"/>
      <name val="Roboto"/>
    </font>
    <font>
      <u/>
      <color rgb="FF0000FF"/>
      <name val="Arial"/>
    </font>
    <font>
      <color theme="1"/>
      <name val="Arial"/>
      <scheme val="minor"/>
    </font>
    <font>
      <u/>
      <color rgb="FF0000FF"/>
      <name val="Arial"/>
    </font>
    <font>
      <color rgb="FFF5F5F5"/>
      <name val="Roboto"/>
    </font>
    <font>
      <u/>
      <color rgb="FF0000FF"/>
      <name val="Roboto"/>
    </font>
    <font>
      <u/>
      <color rgb="FF0000FF"/>
      <name val="Roboto"/>
    </font>
    <font>
      <u/>
      <color rgb="FF0000FF"/>
      <name val="Roboto"/>
    </font>
    <font>
      <u/>
      <color rgb="FF0000FF"/>
      <name val="Roboto"/>
    </font>
  </fonts>
  <fills count="6">
    <fill>
      <patternFill patternType="none"/>
    </fill>
    <fill>
      <patternFill patternType="lightGray"/>
    </fill>
    <fill>
      <patternFill patternType="solid">
        <fgColor rgb="FFFFFFFF"/>
        <bgColor rgb="FFFFFFFF"/>
      </patternFill>
    </fill>
    <fill>
      <patternFill patternType="solid">
        <fgColor rgb="FFC27BA0"/>
        <bgColor rgb="FFC27BA0"/>
      </patternFill>
    </fill>
    <fill>
      <patternFill patternType="solid">
        <fgColor rgb="FFA61C00"/>
        <bgColor rgb="FFA61C00"/>
      </patternFill>
    </fill>
    <fill>
      <patternFill patternType="solid">
        <fgColor rgb="FFF6F8F9"/>
        <bgColor rgb="FFF6F8F9"/>
      </patternFill>
    </fill>
  </fills>
  <borders count="16">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rder>
    <border>
      <left style="thin">
        <color rgb="FFFFFFFF"/>
      </left>
      <right style="thin">
        <color rgb="FFFFFFFF"/>
      </right>
      <top style="thin">
        <color rgb="FFFFFFFF"/>
      </top>
    </border>
    <border>
      <right style="thin">
        <color rgb="FF284E3F"/>
      </right>
      <top style="thin">
        <color rgb="FFF6F8F9"/>
      </top>
    </border>
    <border>
      <left style="thin">
        <color rgb="FF284E3F"/>
      </left>
      <bottom style="thin">
        <color rgb="FF284E3F"/>
      </bottom>
    </border>
    <border>
      <bottom style="thin">
        <color rgb="FF284E3F"/>
      </bottom>
    </border>
    <border>
      <bottom style="thin">
        <color rgb="FF000000"/>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bottom style="thin">
        <color rgb="FF284E3F"/>
      </bottom>
    </border>
  </borders>
  <cellStyleXfs count="1">
    <xf borderId="0" fillId="0" fontId="0" numFmtId="0" applyAlignment="1" applyFont="1"/>
  </cellStyleXfs>
  <cellXfs count="17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3" numFmtId="0" xfId="0" applyAlignment="1" applyFont="1">
      <alignment vertical="bottom"/>
    </xf>
    <xf borderId="1" fillId="2" fontId="4" numFmtId="0" xfId="0" applyAlignment="1" applyBorder="1" applyFill="1" applyFont="1">
      <alignment horizontal="center" shrinkToFit="0" vertical="center" wrapText="0"/>
    </xf>
    <xf borderId="0" fillId="3" fontId="1" numFmtId="0" xfId="0" applyAlignment="1" applyFill="1" applyFont="1">
      <alignment horizontal="left" readingOrder="0" shrinkToFit="0" vertical="center" wrapText="0"/>
    </xf>
    <xf borderId="2" fillId="2" fontId="5" numFmtId="0" xfId="0" applyAlignment="1" applyBorder="1" applyFill="1" applyFont="1">
      <alignment shrinkToFit="0" vertical="center" wrapText="1"/>
    </xf>
    <xf borderId="3" fillId="2" fontId="5" numFmtId="0" xfId="0" applyAlignment="1" applyBorder="1" applyFill="1" applyFont="1">
      <alignment horizontal="right" readingOrder="0" shrinkToFit="0" vertical="center" wrapText="0"/>
    </xf>
    <xf borderId="0" fillId="4" fontId="1" numFmtId="0" xfId="0" applyAlignment="1" applyFill="1" applyFont="1">
      <alignment horizontal="left" readingOrder="0" shrinkToFit="0" vertical="center" wrapText="0"/>
    </xf>
    <xf borderId="4" fillId="5" fontId="4" numFmtId="0" xfId="0" applyAlignment="1" applyBorder="1" applyFill="1" applyFont="1">
      <alignment horizontal="center" shrinkToFit="0" vertical="center" wrapText="0"/>
    </xf>
    <xf borderId="5" fillId="5" fontId="5" numFmtId="0" xfId="0" applyAlignment="1" applyBorder="1" applyFill="1" applyFont="1">
      <alignment shrinkToFit="0" vertical="center" wrapText="1"/>
    </xf>
    <xf borderId="6" fillId="5" fontId="5" numFmtId="0" xfId="0" applyAlignment="1" applyBorder="1" applyFill="1" applyFont="1">
      <alignment horizontal="right" readingOrder="0" shrinkToFit="0" vertical="center" wrapText="0"/>
    </xf>
    <xf borderId="4" fillId="2" fontId="5" numFmtId="0" xfId="0" applyAlignment="1" applyBorder="1" applyFill="1" applyFont="1">
      <alignment readingOrder="0" shrinkToFit="0" vertical="center" wrapText="0"/>
    </xf>
    <xf borderId="5" fillId="0" fontId="6" numFmtId="0" xfId="0" applyAlignment="1" applyBorder="1" applyFont="1">
      <alignment readingOrder="0" shrinkToFit="0" vertical="center" wrapText="0"/>
    </xf>
    <xf borderId="4" fillId="2" fontId="5" numFmtId="0" xfId="0" applyAlignment="1" applyBorder="1" applyFill="1" applyFont="1">
      <alignment shrinkToFit="0" vertical="center" wrapText="0"/>
    </xf>
    <xf borderId="5" fillId="5" fontId="7" numFmtId="0" xfId="0" applyAlignment="1" applyBorder="1" applyFill="1" applyFont="1">
      <alignment shrinkToFit="0" vertical="center" wrapText="0"/>
    </xf>
    <xf borderId="1" fillId="5" fontId="5" numFmtId="0" xfId="0" applyAlignment="1" applyBorder="1" applyFill="1" applyFont="1">
      <alignment readingOrder="0" shrinkToFit="0" vertical="center" wrapText="0"/>
    </xf>
    <xf borderId="5" fillId="5" fontId="3" numFmtId="0" xfId="0" applyAlignment="1" applyBorder="1" applyFill="1" applyFont="1">
      <alignment shrinkToFit="0" vertical="center" wrapText="0"/>
    </xf>
    <xf borderId="2" fillId="5" fontId="7" numFmtId="0" xfId="0" applyAlignment="1" applyBorder="1" applyFill="1" applyFont="1">
      <alignment readingOrder="0" shrinkToFit="0" vertical="center" wrapText="0"/>
    </xf>
    <xf borderId="5" fillId="2" fontId="8" numFmtId="0" xfId="0" applyAlignment="1" applyBorder="1" applyFill="1" applyFont="1">
      <alignment shrinkToFit="0" vertical="center" wrapText="0"/>
    </xf>
    <xf borderId="5" fillId="5" fontId="9" numFmtId="0" xfId="0" applyAlignment="1" applyBorder="1" applyFill="1" applyFont="1">
      <alignment readingOrder="0" shrinkToFit="0" vertical="center" wrapText="0"/>
    </xf>
    <xf borderId="7" fillId="2" fontId="4" numFmtId="0" xfId="0" applyAlignment="1" applyBorder="1" applyFill="1" applyFont="1">
      <alignment horizontal="center" shrinkToFit="0" vertical="center" wrapText="0"/>
    </xf>
    <xf borderId="5" fillId="5" fontId="5" numFmtId="0" xfId="0" applyAlignment="1" applyBorder="1" applyFill="1" applyFont="1">
      <alignment readingOrder="0" shrinkToFit="0" vertical="center" wrapText="0"/>
    </xf>
    <xf borderId="5" fillId="2" fontId="10" numFmtId="0" xfId="0" applyAlignment="1" applyBorder="1" applyFill="1" applyFont="1">
      <alignment readingOrder="0" shrinkToFit="0" vertical="center" wrapText="0"/>
    </xf>
    <xf borderId="8" fillId="2" fontId="5" numFmtId="0" xfId="0" applyAlignment="1" applyBorder="1" applyFill="1" applyFont="1">
      <alignment shrinkToFit="0" vertical="center" wrapText="1"/>
    </xf>
    <xf borderId="2" fillId="2" fontId="11" numFmtId="0" xfId="0" applyAlignment="1" applyBorder="1" applyFill="1" applyFont="1">
      <alignment readingOrder="0" shrinkToFit="0" vertical="center" wrapText="0"/>
    </xf>
    <xf borderId="5" fillId="2" fontId="5" numFmtId="0" xfId="0" applyAlignment="1" applyBorder="1" applyFill="1" applyFont="1">
      <alignment readingOrder="0" shrinkToFit="0" vertical="center" wrapText="0"/>
    </xf>
    <xf borderId="5" fillId="5" fontId="11" numFmtId="0" xfId="0" applyAlignment="1" applyBorder="1" applyFill="1" applyFont="1">
      <alignment readingOrder="0" shrinkToFit="0" vertical="center" wrapText="0"/>
    </xf>
    <xf borderId="5" fillId="2" fontId="11" numFmtId="0" xfId="0" applyAlignment="1" applyBorder="1" applyFill="1" applyFont="1">
      <alignment readingOrder="0" shrinkToFit="0" vertical="center" wrapText="0"/>
    </xf>
    <xf borderId="5" fillId="5" fontId="5" numFmtId="0" xfId="0" applyAlignment="1" applyBorder="1" applyFill="1" applyFont="1">
      <alignment horizontal="right" shrinkToFit="0" vertical="center" wrapText="0"/>
    </xf>
    <xf borderId="5" fillId="2" fontId="12" numFmtId="0" xfId="0" applyAlignment="1" applyBorder="1" applyFill="1" applyFont="1">
      <alignment shrinkToFit="0" vertical="center" wrapText="0"/>
    </xf>
    <xf borderId="2" fillId="5" fontId="13" numFmtId="0" xfId="0" applyAlignment="1" applyBorder="1" applyFill="1" applyFont="1">
      <alignment shrinkToFit="0" vertical="center" wrapText="0"/>
    </xf>
    <xf borderId="0" fillId="5" fontId="4" numFmtId="0" xfId="0" applyAlignment="1" applyFill="1" applyFont="1">
      <alignment horizontal="center" shrinkToFit="0" vertical="center" wrapText="0"/>
    </xf>
    <xf borderId="5" fillId="5" fontId="3" numFmtId="0" xfId="0" applyAlignment="1" applyBorder="1" applyFill="1" applyFont="1">
      <alignment shrinkToFit="0" vertical="center" wrapText="0"/>
    </xf>
    <xf borderId="5" fillId="2" fontId="12" numFmtId="0" xfId="0" applyAlignment="1" applyBorder="1" applyFill="1" applyFont="1">
      <alignment readingOrder="0" shrinkToFit="0" vertical="center" wrapText="0"/>
    </xf>
    <xf borderId="0" fillId="5" fontId="5" numFmtId="0" xfId="0" applyAlignment="1" applyFill="1" applyFont="1">
      <alignment shrinkToFit="0" vertical="center" wrapText="1"/>
    </xf>
    <xf borderId="5" fillId="5" fontId="5" numFmtId="0" xfId="0" applyAlignment="1" applyBorder="1" applyFill="1" applyFont="1">
      <alignment shrinkToFit="0" vertical="center" wrapText="0"/>
    </xf>
    <xf borderId="5" fillId="2" fontId="3" numFmtId="0" xfId="0" applyAlignment="1" applyBorder="1" applyFill="1" applyFont="1">
      <alignment shrinkToFit="0" vertical="center" wrapText="0"/>
    </xf>
    <xf borderId="2" fillId="5" fontId="14" numFmtId="0" xfId="0" applyAlignment="1" applyBorder="1" applyFill="1" applyFont="1">
      <alignment readingOrder="0" shrinkToFit="0" vertical="center" wrapText="0"/>
    </xf>
    <xf borderId="9" fillId="5" fontId="5" numFmtId="0" xfId="0" applyAlignment="1" applyBorder="1" applyFill="1" applyFont="1">
      <alignment horizontal="right" readingOrder="0" shrinkToFit="0" vertical="center" wrapText="0"/>
    </xf>
    <xf borderId="2" fillId="5" fontId="5" numFmtId="0" xfId="0" applyAlignment="1" applyBorder="1" applyFill="1" applyFont="1">
      <alignment readingOrder="0" shrinkToFit="0" vertical="center" wrapText="0"/>
    </xf>
    <xf borderId="10" fillId="5" fontId="4" numFmtId="0" xfId="0" applyAlignment="1" applyBorder="1" applyFill="1" applyFont="1">
      <alignment horizontal="center" readingOrder="0" shrinkToFit="0" vertical="center" wrapText="0"/>
    </xf>
    <xf borderId="11" fillId="5" fontId="5" numFmtId="0" xfId="0" applyAlignment="1" applyBorder="1" applyFill="1" applyFont="1">
      <alignment shrinkToFit="0" vertical="center" wrapText="1"/>
    </xf>
    <xf borderId="12" fillId="5" fontId="5" numFmtId="0" xfId="0" applyAlignment="1" applyBorder="1" applyFill="1" applyFont="1">
      <alignment horizontal="right" readingOrder="0" shrinkToFit="0" vertical="center" wrapText="0"/>
    </xf>
    <xf borderId="5" fillId="5" fontId="3" numFmtId="0" xfId="0" applyAlignment="1" applyBorder="1" applyFill="1" applyFont="1">
      <alignment shrinkToFit="0" vertical="center" wrapText="0"/>
    </xf>
    <xf borderId="2" fillId="5" fontId="5" numFmtId="0" xfId="0" applyAlignment="1" applyBorder="1" applyFill="1" applyFont="1">
      <alignment horizontal="right" shrinkToFit="0" vertical="center" wrapText="0"/>
    </xf>
    <xf borderId="13" fillId="2" fontId="3" numFmtId="0" xfId="0" applyAlignment="1" applyBorder="1" applyFill="1" applyFont="1">
      <alignment shrinkToFit="0" vertical="center" wrapText="0"/>
    </xf>
    <xf borderId="2" fillId="5" fontId="3" numFmtId="0" xfId="0" applyAlignment="1" applyBorder="1" applyFill="1" applyFont="1">
      <alignment shrinkToFit="0" vertical="center" wrapText="0"/>
    </xf>
    <xf borderId="6" fillId="5" fontId="3" numFmtId="0" xfId="0" applyAlignment="1" applyBorder="1" applyFill="1" applyFont="1">
      <alignment shrinkToFit="0" vertical="center" wrapText="0"/>
    </xf>
    <xf borderId="14" fillId="2" fontId="5" numFmtId="0" xfId="0" applyAlignment="1" applyBorder="1" applyFill="1" applyFont="1">
      <alignment shrinkToFit="0" vertical="center" wrapText="1"/>
    </xf>
    <xf borderId="2" fillId="2" fontId="3" numFmtId="0" xfId="0" applyAlignment="1" applyBorder="1" applyFill="1" applyFont="1">
      <alignment readingOrder="0" shrinkToFit="0" vertical="center" wrapText="0"/>
    </xf>
    <xf borderId="5" fillId="2" fontId="5" numFmtId="0" xfId="0" applyAlignment="1" applyBorder="1" applyFill="1" applyFont="1">
      <alignment horizontal="right" shrinkToFit="0" vertical="center" wrapText="0"/>
    </xf>
    <xf borderId="2" fillId="5" fontId="3" numFmtId="0" xfId="0" applyAlignment="1" applyBorder="1" applyFill="1" applyFont="1">
      <alignment shrinkToFit="0" vertical="center" wrapText="0"/>
    </xf>
    <xf borderId="15" fillId="2" fontId="5" numFmtId="0" xfId="0" applyAlignment="1" applyBorder="1" applyFill="1" applyFont="1">
      <alignment horizontal="right" shrinkToFit="0" vertical="center" wrapText="0"/>
    </xf>
    <xf borderId="5" fillId="2" fontId="5" numFmtId="0" xfId="0" applyAlignment="1" applyBorder="1" applyFill="1" applyFont="1">
      <alignment shrinkToFit="0" vertical="center" wrapText="0"/>
    </xf>
    <xf borderId="2" fillId="5" fontId="5" numFmtId="0" xfId="0" applyAlignment="1" applyBorder="1" applyFill="1" applyFont="1">
      <alignment shrinkToFit="0" vertical="center" wrapText="0"/>
    </xf>
    <xf borderId="5" fillId="2" fontId="3" numFmtId="0" xfId="0" applyAlignment="1" applyBorder="1" applyFill="1" applyFont="1">
      <alignment shrinkToFit="0" vertical="center" wrapText="0"/>
    </xf>
    <xf borderId="5" fillId="2" fontId="15" numFmtId="0" xfId="0" applyAlignment="1" applyBorder="1" applyFill="1" applyFont="1">
      <alignment shrinkToFit="0" vertical="center" wrapText="0"/>
    </xf>
    <xf borderId="2" fillId="5" fontId="16" numFmtId="0" xfId="0" applyAlignment="1" applyBorder="1" applyFill="1" applyFont="1">
      <alignment shrinkToFit="0" vertical="center" wrapText="0"/>
    </xf>
    <xf borderId="6" fillId="2" fontId="5" numFmtId="0" xfId="0" applyAlignment="1" applyBorder="1" applyFill="1" applyFont="1">
      <alignment shrinkToFit="0" vertical="center" wrapText="0"/>
    </xf>
    <xf borderId="3" fillId="5" fontId="3" numFmtId="0" xfId="0" applyAlignment="1" applyBorder="1" applyFill="1" applyFont="1">
      <alignment shrinkToFit="0" vertical="center" wrapText="0"/>
    </xf>
    <xf borderId="1" fillId="5" fontId="5" numFmtId="0" xfId="0" applyAlignment="1" applyBorder="1" applyFill="1" applyFont="1">
      <alignment shrinkToFit="0" vertical="center" wrapText="0"/>
    </xf>
    <xf borderId="1" fillId="5" fontId="7" numFmtId="0" xfId="0" applyAlignment="1" applyBorder="1" applyFill="1" applyFont="1">
      <alignment readingOrder="0" shrinkToFit="0" vertical="center" wrapText="0"/>
    </xf>
    <xf borderId="2" fillId="0" fontId="6" numFmtId="0" xfId="0" applyAlignment="1" applyBorder="1" applyFont="1">
      <alignment readingOrder="0" shrinkToFit="0" vertical="center" wrapText="0"/>
    </xf>
    <xf borderId="2" fillId="5" fontId="11" numFmtId="0" xfId="0" applyAlignment="1" applyBorder="1" applyFill="1" applyFont="1">
      <alignment readingOrder="0" shrinkToFit="0" vertical="center" wrapText="0"/>
    </xf>
    <xf borderId="2" fillId="5" fontId="17" numFmtId="0" xfId="0" applyAlignment="1" applyBorder="1" applyFill="1" applyFont="1">
      <alignment shrinkToFit="0" vertical="center" wrapText="0"/>
    </xf>
    <xf borderId="2" fillId="5" fontId="18" numFmtId="0" xfId="0" applyAlignment="1" applyBorder="1" applyFill="1" applyFont="1">
      <alignment readingOrder="0" shrinkToFit="0" vertical="center" wrapText="0"/>
    </xf>
    <xf borderId="2" fillId="5" fontId="7" numFmtId="0" xfId="0" applyAlignment="1" applyBorder="1" applyFill="1" applyFont="1">
      <alignment readingOrder="0" shrinkToFit="0" vertical="center" wrapText="0"/>
    </xf>
    <xf borderId="2" fillId="5" fontId="7" numFmtId="0" xfId="0" applyAlignment="1" applyBorder="1" applyFill="1" applyFont="1">
      <alignment readingOrder="0" shrinkToFit="0" vertical="center" wrapText="0"/>
    </xf>
    <xf borderId="2" fillId="5" fontId="12" numFmtId="0" xfId="0" applyAlignment="1" applyBorder="1" applyFill="1" applyFont="1">
      <alignment shrinkToFit="0" vertical="center" wrapText="0"/>
    </xf>
    <xf borderId="2" fillId="5" fontId="12" numFmtId="0" xfId="0" applyAlignment="1" applyBorder="1" applyFill="1" applyFont="1">
      <alignment readingOrder="0" shrinkToFit="0" vertical="center" wrapText="0"/>
    </xf>
    <xf borderId="2" fillId="5" fontId="7" numFmtId="0" xfId="0" applyAlignment="1" applyBorder="1" applyFill="1" applyFont="1">
      <alignment horizontal="right" shrinkToFit="0" vertical="center" wrapText="0"/>
    </xf>
    <xf borderId="5" fillId="0" fontId="7" numFmtId="0" xfId="0" applyAlignment="1" applyBorder="1" applyFont="1">
      <alignment readingOrder="0" shrinkToFit="0" vertical="center" wrapText="0"/>
    </xf>
    <xf borderId="2" fillId="5" fontId="7" numFmtId="0" xfId="0" applyAlignment="1" applyBorder="1" applyFill="1" applyFont="1">
      <alignment shrinkToFit="0" vertical="center" wrapText="0"/>
    </xf>
    <xf borderId="2" fillId="5" fontId="7" numFmtId="0" xfId="0" applyAlignment="1" applyBorder="1" applyFill="1" applyFont="1">
      <alignment shrinkToFit="0" vertical="center" wrapText="0"/>
    </xf>
    <xf borderId="3" fillId="5" fontId="7" numFmtId="0" xfId="0" applyAlignment="1" applyBorder="1" applyFill="1" applyFont="1">
      <alignment shrinkToFit="0" vertical="center" wrapText="0"/>
    </xf>
    <xf borderId="5" fillId="2" fontId="16" numFmtId="0" xfId="0" applyAlignment="1" applyBorder="1" applyFill="1" applyFont="1">
      <alignment shrinkToFit="0" vertical="center" wrapText="0"/>
    </xf>
    <xf borderId="6" fillId="2" fontId="3" numFmtId="0" xfId="0" applyAlignment="1" applyBorder="1" applyFill="1" applyFont="1">
      <alignment shrinkToFit="0" vertical="center" wrapText="0"/>
    </xf>
    <xf borderId="5" fillId="0" fontId="6" numFmtId="0" xfId="0" applyAlignment="1" applyBorder="1" applyFont="1">
      <alignment shrinkToFit="0" vertical="center" wrapText="0"/>
    </xf>
    <xf borderId="5" fillId="5" fontId="19" numFmtId="0" xfId="0" applyAlignment="1" applyBorder="1" applyFill="1" applyFont="1">
      <alignment shrinkToFit="0" vertical="center" wrapText="0"/>
    </xf>
    <xf borderId="5" fillId="5" fontId="20" numFmtId="0" xfId="0" applyAlignment="1" applyBorder="1" applyFill="1" applyFont="1">
      <alignment readingOrder="0" shrinkToFit="0" vertical="center" wrapText="0"/>
    </xf>
    <xf borderId="5" fillId="5" fontId="11" numFmtId="0" xfId="0" applyAlignment="1" applyBorder="1" applyFill="1" applyFont="1">
      <alignment readingOrder="0" shrinkToFit="0" vertical="center" wrapText="0"/>
    </xf>
    <xf borderId="5" fillId="5" fontId="12" numFmtId="0" xfId="0" applyAlignment="1" applyBorder="1" applyFill="1" applyFont="1">
      <alignment shrinkToFit="0" vertical="center" wrapText="0"/>
    </xf>
    <xf borderId="5" fillId="5" fontId="12" numFmtId="0" xfId="0" applyAlignment="1" applyBorder="1" applyFill="1" applyFont="1">
      <alignment readingOrder="0" shrinkToFit="0" vertical="center" wrapText="0"/>
    </xf>
    <xf borderId="5" fillId="5" fontId="11" numFmtId="0" xfId="0" applyAlignment="1" applyBorder="1" applyFill="1" applyFont="1">
      <alignment horizontal="right" shrinkToFit="0" vertical="center" wrapText="0"/>
    </xf>
    <xf borderId="5" fillId="5" fontId="19" numFmtId="0" xfId="0" applyAlignment="1" applyBorder="1" applyFill="1" applyFont="1">
      <alignment shrinkToFit="0" vertical="center" wrapText="0"/>
    </xf>
    <xf borderId="5" fillId="5" fontId="11" numFmtId="0" xfId="0" applyAlignment="1" applyBorder="1" applyFill="1" applyFont="1">
      <alignment shrinkToFit="0" vertical="center" wrapText="0"/>
    </xf>
    <xf borderId="5" fillId="5" fontId="19" numFmtId="0" xfId="0" applyAlignment="1" applyBorder="1" applyFill="1" applyFont="1">
      <alignment shrinkToFit="0" vertical="center" wrapText="0"/>
    </xf>
    <xf borderId="6" fillId="5" fontId="19" numFmtId="0" xfId="0" applyAlignment="1" applyBorder="1" applyFill="1" applyFont="1">
      <alignment shrinkToFit="0" vertical="center" wrapText="0"/>
    </xf>
    <xf borderId="5" fillId="2" fontId="7" numFmtId="0" xfId="0" applyAlignment="1" applyBorder="1" applyFill="1" applyFont="1">
      <alignment readingOrder="0" shrinkToFit="0" vertical="center" wrapText="0"/>
    </xf>
    <xf borderId="2" fillId="2" fontId="7" numFmtId="0" xfId="0" applyAlignment="1" applyBorder="1" applyFill="1" applyFont="1">
      <alignment shrinkToFit="0" vertical="center" wrapText="0"/>
    </xf>
    <xf borderId="2" fillId="2" fontId="3" numFmtId="0" xfId="0" applyAlignment="1" applyBorder="1" applyFill="1" applyFont="1">
      <alignment shrinkToFit="0" vertical="center" wrapText="0"/>
    </xf>
    <xf borderId="0" fillId="2" fontId="21" numFmtId="0" xfId="0" applyAlignment="1" applyFill="1" applyFont="1">
      <alignment readingOrder="0" shrinkToFit="0" vertical="center" wrapText="0"/>
    </xf>
    <xf borderId="0" fillId="2" fontId="5" numFmtId="0" xfId="0" applyAlignment="1" applyFill="1" applyFont="1">
      <alignment readingOrder="0" shrinkToFit="0" vertical="center" wrapText="0"/>
    </xf>
    <xf borderId="0" fillId="2" fontId="11" numFmtId="0" xfId="0" applyAlignment="1" applyFill="1" applyFont="1">
      <alignment readingOrder="0" shrinkToFit="0" vertical="center" wrapText="0"/>
    </xf>
    <xf borderId="2" fillId="2" fontId="5" numFmtId="0" xfId="0" applyAlignment="1" applyBorder="1" applyFill="1" applyFont="1">
      <alignment horizontal="right" shrinkToFit="0" vertical="center" wrapText="0"/>
    </xf>
    <xf borderId="2" fillId="2" fontId="3" numFmtId="0" xfId="0" applyAlignment="1" applyBorder="1" applyFill="1" applyFont="1">
      <alignment shrinkToFit="0" vertical="center" wrapText="0"/>
    </xf>
    <xf borderId="2" fillId="2" fontId="5" numFmtId="0" xfId="0" applyAlignment="1" applyBorder="1" applyFill="1" applyFont="1">
      <alignment shrinkToFit="0" vertical="center" wrapText="0"/>
    </xf>
    <xf borderId="2" fillId="2" fontId="3" numFmtId="0" xfId="0" applyAlignment="1" applyBorder="1" applyFill="1" applyFont="1">
      <alignment shrinkToFit="0" vertical="center" wrapText="0"/>
    </xf>
    <xf borderId="2" fillId="0" fontId="6" numFmtId="0" xfId="0" applyAlignment="1" applyBorder="1" applyFont="1">
      <alignment shrinkToFit="0" vertical="center" wrapText="0"/>
    </xf>
    <xf borderId="3" fillId="2" fontId="3" numFmtId="0" xfId="0" applyAlignment="1" applyBorder="1" applyFill="1" applyFont="1">
      <alignment shrinkToFit="0" vertical="center" wrapText="0"/>
    </xf>
    <xf borderId="2" fillId="2" fontId="22" numFmtId="0" xfId="0" applyAlignment="1" applyBorder="1" applyFill="1" applyFont="1">
      <alignment shrinkToFit="0" vertical="center" wrapText="0"/>
    </xf>
    <xf borderId="2" fillId="2" fontId="12" numFmtId="0" xfId="0" applyAlignment="1" applyBorder="1" applyFill="1" applyFont="1">
      <alignment shrinkToFit="0" vertical="center" wrapText="0"/>
    </xf>
    <xf borderId="2" fillId="2" fontId="12" numFmtId="0" xfId="0" applyAlignment="1" applyBorder="1" applyFill="1" applyFont="1">
      <alignment readingOrder="0" shrinkToFit="0" vertical="center" wrapText="0"/>
    </xf>
    <xf borderId="2" fillId="5" fontId="3" numFmtId="0" xfId="0" applyAlignment="1" applyBorder="1" applyFill="1" applyFont="1">
      <alignment shrinkToFit="0" vertical="center" wrapText="0"/>
    </xf>
    <xf borderId="5" fillId="5" fontId="23" numFmtId="0" xfId="0" applyAlignment="1" applyBorder="1" applyFill="1" applyFont="1">
      <alignment shrinkToFit="0" vertical="center" wrapText="0"/>
    </xf>
    <xf borderId="5" fillId="5" fontId="24" numFmtId="0" xfId="0" applyAlignment="1" applyBorder="1" applyFill="1" applyFont="1">
      <alignment shrinkToFit="0" vertical="center" wrapText="0"/>
    </xf>
    <xf borderId="6" fillId="5" fontId="5" numFmtId="0" xfId="0" applyAlignment="1" applyBorder="1" applyFill="1" applyFont="1">
      <alignment shrinkToFit="0" vertical="center" wrapText="0"/>
    </xf>
    <xf borderId="5" fillId="5" fontId="7" numFmtId="0" xfId="0" applyAlignment="1" applyBorder="1" applyFill="1" applyFont="1">
      <alignment readingOrder="0" shrinkToFit="0" vertical="center" wrapText="0"/>
    </xf>
    <xf borderId="2" fillId="2" fontId="25" numFmtId="0" xfId="0" applyAlignment="1" applyBorder="1" applyFill="1" applyFont="1">
      <alignment readingOrder="0" shrinkToFit="0" vertical="center" wrapText="0"/>
    </xf>
    <xf borderId="2" fillId="2" fontId="5" numFmtId="0" xfId="0" applyAlignment="1" applyBorder="1" applyFill="1" applyFont="1">
      <alignment readingOrder="0" shrinkToFit="0" vertical="center" wrapText="0"/>
    </xf>
    <xf borderId="2" fillId="5" fontId="19" numFmtId="0" xfId="0" applyAlignment="1" applyBorder="1" applyFill="1" applyFont="1">
      <alignment shrinkToFit="0" vertical="center" wrapText="0"/>
    </xf>
    <xf borderId="2" fillId="5" fontId="26" numFmtId="0" xfId="0" applyAlignment="1" applyBorder="1" applyFill="1" applyFont="1">
      <alignment readingOrder="0" shrinkToFit="0" vertical="center" wrapText="0"/>
    </xf>
    <xf borderId="2" fillId="5" fontId="11" numFmtId="0" xfId="0" applyAlignment="1" applyBorder="1" applyFill="1" applyFont="1">
      <alignment readingOrder="0" shrinkToFit="0" vertical="center" wrapText="0"/>
    </xf>
    <xf borderId="2" fillId="5" fontId="11" numFmtId="0" xfId="0" applyAlignment="1" applyBorder="1" applyFill="1" applyFont="1">
      <alignment horizontal="right" shrinkToFit="0" vertical="center" wrapText="0"/>
    </xf>
    <xf borderId="2" fillId="5" fontId="19" numFmtId="0" xfId="0" applyAlignment="1" applyBorder="1" applyFill="1" applyFont="1">
      <alignment shrinkToFit="0" vertical="center" wrapText="0"/>
    </xf>
    <xf borderId="2" fillId="5" fontId="11" numFmtId="0" xfId="0" applyAlignment="1" applyBorder="1" applyFill="1" applyFont="1">
      <alignment shrinkToFit="0" vertical="center" wrapText="0"/>
    </xf>
    <xf borderId="2" fillId="5" fontId="19" numFmtId="0" xfId="0" applyAlignment="1" applyBorder="1" applyFill="1" applyFont="1">
      <alignment shrinkToFit="0" vertical="center" wrapText="0"/>
    </xf>
    <xf borderId="3" fillId="5" fontId="19" numFmtId="0" xfId="0" applyAlignment="1" applyBorder="1" applyFill="1" applyFont="1">
      <alignment shrinkToFit="0" vertical="center" wrapText="0"/>
    </xf>
    <xf borderId="2" fillId="2" fontId="11" numFmtId="0" xfId="0" applyAlignment="1" applyBorder="1" applyFill="1" applyFont="1">
      <alignment readingOrder="0" shrinkToFit="0" vertical="center" wrapText="0"/>
    </xf>
    <xf borderId="0" fillId="0" fontId="19" numFmtId="0" xfId="0" applyAlignment="1" applyFont="1">
      <alignment vertical="bottom"/>
    </xf>
    <xf borderId="0" fillId="0" fontId="27" numFmtId="0" xfId="0" applyFont="1"/>
    <xf borderId="2" fillId="0" fontId="7" numFmtId="0" xfId="0" applyAlignment="1" applyBorder="1" applyFont="1">
      <alignment shrinkToFit="0" vertical="center" wrapText="0"/>
    </xf>
    <xf borderId="2" fillId="5" fontId="28" numFmtId="0" xfId="0" applyAlignment="1" applyBorder="1" applyFill="1" applyFont="1">
      <alignment readingOrder="0" shrinkToFit="0" vertical="center" wrapText="0"/>
    </xf>
    <xf borderId="5" fillId="2" fontId="11" numFmtId="0" xfId="0" applyAlignment="1" applyBorder="1" applyFill="1" applyFont="1">
      <alignment readingOrder="0" shrinkToFit="0" vertical="center" wrapText="0"/>
    </xf>
    <xf borderId="5" fillId="5" fontId="16" numFmtId="0" xfId="0" applyAlignment="1" applyBorder="1" applyFill="1" applyFont="1">
      <alignment shrinkToFit="0" vertical="center" wrapText="0"/>
    </xf>
    <xf borderId="2" fillId="5" fontId="11" numFmtId="0" xfId="0" applyAlignment="1" applyBorder="1" applyFill="1" applyFont="1">
      <alignment readingOrder="0" shrinkToFit="0" vertical="center" wrapText="0"/>
    </xf>
    <xf borderId="2" fillId="5" fontId="15" numFmtId="0" xfId="0" applyAlignment="1" applyBorder="1" applyFill="1" applyFont="1">
      <alignment shrinkToFit="0" vertical="center" wrapText="0"/>
    </xf>
    <xf borderId="3" fillId="5" fontId="5" numFmtId="0" xfId="0" applyAlignment="1" applyBorder="1" applyFill="1" applyFont="1">
      <alignment shrinkToFit="0" vertical="center" wrapText="0"/>
    </xf>
    <xf borderId="2" fillId="2" fontId="11" numFmtId="0" xfId="0" applyAlignment="1" applyBorder="1" applyFill="1" applyFont="1">
      <alignment shrinkToFit="0" vertical="center" wrapText="0"/>
    </xf>
    <xf borderId="2" fillId="2" fontId="16" numFmtId="0" xfId="0" applyAlignment="1" applyBorder="1" applyFill="1" applyFont="1">
      <alignment shrinkToFit="0" vertical="center" wrapText="0"/>
    </xf>
    <xf borderId="2" fillId="2" fontId="11" numFmtId="0" xfId="0" applyAlignment="1" applyBorder="1" applyFill="1" applyFont="1">
      <alignment readingOrder="0" shrinkToFit="0" vertical="center" wrapText="0"/>
    </xf>
    <xf borderId="2" fillId="2" fontId="5" numFmtId="0" xfId="0" applyAlignment="1" applyBorder="1" applyFill="1" applyFont="1">
      <alignment horizontal="right" shrinkToFit="0" vertical="center" wrapText="0"/>
    </xf>
    <xf borderId="2" fillId="2" fontId="29" numFmtId="0" xfId="0" applyAlignment="1" applyBorder="1" applyFill="1" applyFont="1">
      <alignment shrinkToFit="0" vertical="center" wrapText="0"/>
    </xf>
    <xf borderId="5" fillId="5" fontId="11" numFmtId="0" xfId="0" applyAlignment="1" applyBorder="1" applyFill="1" applyFont="1">
      <alignment readingOrder="0" shrinkToFit="0" vertical="center" wrapText="0"/>
    </xf>
    <xf borderId="2" fillId="5" fontId="30" numFmtId="0" xfId="0" applyAlignment="1" applyBorder="1" applyFill="1" applyFont="1">
      <alignment shrinkToFit="0" vertical="center" wrapText="0"/>
    </xf>
    <xf borderId="5" fillId="2" fontId="3" numFmtId="0" xfId="0" applyAlignment="1" applyBorder="1" applyFill="1" applyFont="1">
      <alignment shrinkToFit="0" vertical="center" wrapText="0"/>
    </xf>
    <xf borderId="5" fillId="2" fontId="31" numFmtId="0" xfId="0" applyAlignment="1" applyBorder="1" applyFill="1" applyFont="1">
      <alignment readingOrder="0" shrinkToFit="0" vertical="center" wrapText="0"/>
    </xf>
    <xf borderId="5" fillId="0" fontId="32" numFmtId="0" xfId="0" applyAlignment="1" applyBorder="1" applyFont="1">
      <alignment shrinkToFit="0" vertical="center" wrapText="0"/>
    </xf>
    <xf borderId="5" fillId="0" fontId="32" numFmtId="0" xfId="0" applyAlignment="1" applyBorder="1" applyFont="1">
      <alignment readingOrder="0" shrinkToFit="0" vertical="center" wrapText="0"/>
    </xf>
    <xf borderId="2" fillId="2" fontId="24" numFmtId="0" xfId="0" applyAlignment="1" applyBorder="1" applyFill="1" applyFont="1">
      <alignment shrinkToFit="0" vertical="center" wrapText="0"/>
    </xf>
    <xf borderId="3" fillId="2" fontId="5" numFmtId="0" xfId="0" applyAlignment="1" applyBorder="1" applyFill="1" applyFont="1">
      <alignment shrinkToFit="0" vertical="center" wrapText="0"/>
    </xf>
    <xf borderId="5" fillId="2" fontId="11" numFmtId="0" xfId="0" applyAlignment="1" applyBorder="1" applyFill="1" applyFont="1">
      <alignment shrinkToFit="0" vertical="center" wrapText="0"/>
    </xf>
    <xf borderId="5" fillId="5" fontId="15" numFmtId="0" xfId="0" applyAlignment="1" applyBorder="1" applyFill="1" applyFont="1">
      <alignment shrinkToFit="0" vertical="center" wrapText="0"/>
    </xf>
    <xf borderId="5" fillId="0" fontId="7" numFmtId="0" xfId="0" applyAlignment="1" applyBorder="1" applyFont="1">
      <alignment shrinkToFit="0" vertical="center" wrapText="0"/>
    </xf>
    <xf borderId="5" fillId="2" fontId="5" numFmtId="0" xfId="0" applyAlignment="1" applyBorder="1" applyFill="1" applyFont="1">
      <alignment horizontal="right" shrinkToFit="0" vertical="center" wrapText="0"/>
    </xf>
    <xf borderId="5" fillId="2" fontId="29" numFmtId="0" xfId="0" applyAlignment="1" applyBorder="1" applyFill="1" applyFont="1">
      <alignment shrinkToFit="0" vertical="center" wrapText="0"/>
    </xf>
    <xf borderId="2" fillId="2" fontId="33" numFmtId="0" xfId="0" applyAlignment="1" applyBorder="1" applyFill="1" applyFont="1">
      <alignment readingOrder="0" shrinkToFit="0" vertical="center" wrapText="0"/>
    </xf>
    <xf borderId="2" fillId="0" fontId="32" numFmtId="0" xfId="0" applyAlignment="1" applyBorder="1" applyFont="1">
      <alignment shrinkToFit="0" vertical="center" wrapText="0"/>
    </xf>
    <xf borderId="2" fillId="0" fontId="32" numFmtId="0" xfId="0" applyAlignment="1" applyBorder="1" applyFont="1">
      <alignment readingOrder="0" shrinkToFit="0" vertical="center" wrapText="0"/>
    </xf>
    <xf borderId="2" fillId="2" fontId="34" numFmtId="0" xfId="0" applyAlignment="1" applyBorder="1" applyFill="1" applyFont="1">
      <alignment shrinkToFit="0" vertical="center" wrapText="0"/>
    </xf>
    <xf borderId="5" fillId="2" fontId="28" numFmtId="0" xfId="0" applyAlignment="1" applyBorder="1" applyFill="1" applyFont="1">
      <alignment readingOrder="0" shrinkToFit="0" vertical="center" wrapText="0"/>
    </xf>
    <xf borderId="2" fillId="2" fontId="35" numFmtId="0" xfId="0" applyAlignment="1" applyBorder="1" applyFill="1" applyFont="1">
      <alignment shrinkToFit="0" vertical="center" wrapText="0"/>
    </xf>
    <xf borderId="5" fillId="2" fontId="24" numFmtId="0" xfId="0" applyAlignment="1" applyBorder="1" applyFill="1" applyFont="1">
      <alignment shrinkToFit="0" vertical="center" wrapText="0"/>
    </xf>
    <xf borderId="2" fillId="2" fontId="36" numFmtId="0" xfId="0" applyAlignment="1" applyBorder="1" applyFill="1" applyFont="1">
      <alignment readingOrder="0" shrinkToFit="0" vertical="center" wrapText="0"/>
    </xf>
    <xf borderId="2" fillId="2" fontId="7" numFmtId="0" xfId="0" applyAlignment="1" applyBorder="1" applyFill="1" applyFont="1">
      <alignment readingOrder="0" shrinkToFit="0" vertical="center" wrapText="0"/>
    </xf>
    <xf borderId="2" fillId="2" fontId="7" numFmtId="0" xfId="0" applyAlignment="1" applyBorder="1" applyFill="1" applyFont="1">
      <alignment horizontal="right" shrinkToFit="0" vertical="center" wrapText="0"/>
    </xf>
    <xf borderId="2" fillId="2" fontId="7" numFmtId="0" xfId="0" applyAlignment="1" applyBorder="1" applyFill="1" applyFont="1">
      <alignment shrinkToFit="0" vertical="center" wrapText="0"/>
    </xf>
    <xf borderId="0" fillId="5" fontId="11" numFmtId="0" xfId="0" applyAlignment="1" applyFill="1" applyFont="1">
      <alignment readingOrder="0" shrinkToFit="0" vertical="center" wrapText="0"/>
    </xf>
    <xf borderId="2" fillId="0" fontId="7" numFmtId="0" xfId="0" applyAlignment="1" applyBorder="1" applyFont="1">
      <alignment readingOrder="0" shrinkToFit="0" vertical="center" wrapText="0"/>
    </xf>
    <xf borderId="2" fillId="2" fontId="15" numFmtId="0" xfId="0" applyAlignment="1" applyBorder="1" applyFill="1" applyFont="1">
      <alignment shrinkToFit="0" vertical="center" wrapText="0"/>
    </xf>
    <xf borderId="2" fillId="2" fontId="28" numFmtId="0" xfId="0" applyAlignment="1" applyBorder="1" applyFill="1" applyFont="1">
      <alignment readingOrder="0" shrinkToFit="0" vertical="center" wrapText="0"/>
    </xf>
    <xf borderId="2" fillId="5" fontId="29" numFmtId="0" xfId="0" applyAlignment="1" applyBorder="1" applyFill="1" applyFont="1">
      <alignment shrinkToFit="0" vertical="center" wrapText="0"/>
    </xf>
    <xf borderId="2" fillId="2" fontId="7" numFmtId="0" xfId="0" applyAlignment="1" applyBorder="1" applyFill="1" applyFont="1">
      <alignment readingOrder="0" shrinkToFit="0" vertical="center" wrapText="0"/>
    </xf>
    <xf borderId="5" fillId="5" fontId="30" numFmtId="0" xfId="0" applyAlignment="1" applyBorder="1" applyFill="1" applyFont="1">
      <alignment shrinkToFit="0" vertical="center" wrapText="0"/>
    </xf>
    <xf borderId="2" fillId="5" fontId="24" numFmtId="0" xfId="0" applyAlignment="1" applyBorder="1" applyFill="1" applyFont="1">
      <alignment shrinkToFit="0" vertical="center" wrapText="0"/>
    </xf>
    <xf borderId="5" fillId="5" fontId="29" numFmtId="0" xfId="0" applyAlignment="1" applyBorder="1" applyFill="1" applyFont="1">
      <alignment shrinkToFit="0" vertical="center" wrapText="0"/>
    </xf>
    <xf borderId="0" fillId="0" fontId="3" numFmtId="0" xfId="0" applyAlignment="1" applyFont="1">
      <alignment readingOrder="0" vertical="bottom"/>
    </xf>
    <xf borderId="5" fillId="2" fontId="37" numFmtId="0" xfId="0" applyAlignment="1" applyBorder="1" applyFill="1" applyFont="1">
      <alignment shrinkToFit="0" vertical="center" wrapText="0"/>
    </xf>
    <xf borderId="5" fillId="2" fontId="38" numFmtId="0" xfId="0" applyAlignment="1" applyBorder="1" applyFill="1" applyFont="1">
      <alignment readingOrder="0" shrinkToFit="0" vertical="center" wrapText="0"/>
    </xf>
    <xf borderId="5" fillId="2" fontId="7" numFmtId="0" xfId="0" applyAlignment="1" applyBorder="1" applyFill="1" applyFont="1">
      <alignment readingOrder="0" shrinkToFit="0" vertical="center" wrapText="0"/>
    </xf>
    <xf borderId="5" fillId="2" fontId="7" numFmtId="0" xfId="0" applyAlignment="1" applyBorder="1" applyFill="1" applyFont="1">
      <alignment readingOrder="0" shrinkToFit="0" vertical="center" wrapText="0"/>
    </xf>
    <xf borderId="5" fillId="2" fontId="7" numFmtId="0" xfId="0" applyAlignment="1" applyBorder="1" applyFill="1" applyFont="1">
      <alignment horizontal="right" shrinkToFit="0" vertical="center" wrapText="0"/>
    </xf>
    <xf borderId="5" fillId="2" fontId="7" numFmtId="0" xfId="0" applyAlignment="1" applyBorder="1" applyFill="1" applyFont="1">
      <alignment shrinkToFit="0" vertical="center" wrapText="0"/>
    </xf>
    <xf borderId="5" fillId="2" fontId="7" numFmtId="0" xfId="0" applyAlignment="1" applyBorder="1" applyFill="1" applyFont="1">
      <alignment shrinkToFit="0" vertical="center" wrapText="0"/>
    </xf>
    <xf borderId="5" fillId="5" fontId="28" numFmtId="0" xfId="0" applyAlignment="1" applyBorder="1" applyFill="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excluded by criteria-style">
      <tableStyleElement dxfId="1" type="headerRow"/>
      <tableStyleElement dxfId="2" type="firstRowStripe"/>
      <tableStyleElement dxfId="3" type="secondRowStripe"/>
      <tableStyleElement dxfId="4" size="0" type="wholeTable"/>
    </tableStyle>
    <tableStyle count="4" pivot="0" name="(bkp 2nd filter) studies to be -style">
      <tableStyleElement dxfId="1" type="headerRow"/>
      <tableStyleElement dxfId="2" type="firstRowStripe"/>
      <tableStyleElement dxfId="3" type="secondRowStripe"/>
      <tableStyleElement dxfId="4" size="0" type="wholeTable"/>
    </tableStyle>
    <tableStyle count="4" pivot="0" name="studies to be analyzed-style">
      <tableStyleElement dxfId="1" type="headerRow"/>
      <tableStyleElement dxfId="2" type="firstRowStripe"/>
      <tableStyleElement dxfId="3" type="secondRowStripe"/>
      <tableStyleElement dxfId="4" size="0" type="wholeTable"/>
    </tableStyle>
    <tableStyle count="4" pivot="0" name="accepted stud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A73" displayName="Tabela_5" name="Tabela_5" id="3">
  <tableColumns count="27">
    <tableColumn name="id" id="1"/>
    <tableColumn name="title" id="2"/>
    <tableColumn name="url" id="3"/>
    <tableColumn name="doi (url)" id="4"/>
    <tableColumn name="Elegibilidade ISRAEL" id="5"/>
    <tableColumn name="Critério ISRAEL" id="6"/>
    <tableColumn name="Comentários ISRAEL" id="7"/>
    <tableColumn name="Elegibilidade SUZANE" id="8"/>
    <tableColumn name="Critério  SUZANE" id="9"/>
    <tableColumn name="Comentários SUZANE" id="10"/>
    <tableColumn name="CONCORDÂNCIA" id="11"/>
    <tableColumn name="year" id="12"/>
    <tableColumn name="month" id="13"/>
    <tableColumn name="day" id="14"/>
    <tableColumn name="journal" id="15"/>
    <tableColumn name="issn" id="16"/>
    <tableColumn name="volume" id="17"/>
    <tableColumn name="issue" id="18"/>
    <tableColumn name="pages" id="19"/>
    <tableColumn name="authors" id="20"/>
    <tableColumn name="language" id="21"/>
    <tableColumn name="publisher" id="22"/>
    <tableColumn name="location" id="23"/>
    <tableColumn name="notes" id="24"/>
    <tableColumn name="keywords" id="25"/>
    <tableColumn name="pubmed_id" id="26"/>
    <tableColumn name="pmc_id" id="27"/>
  </tableColumns>
  <tableStyleInfo name="(bkp 2nd filter) studies to be -style" showColumnStripes="0" showFirstColumn="1" showLastColumn="1" showRowStripes="1"/>
</table>
</file>

<file path=xl/tables/table2.xml><?xml version="1.0" encoding="utf-8"?>
<table xmlns="http://schemas.openxmlformats.org/spreadsheetml/2006/main" ref="A1:X73" displayName="Tabela" name="Tabela" id="4">
  <autoFilter ref="$A$1:$X$73"/>
  <tableColumns count="24">
    <tableColumn name="id" id="1"/>
    <tableColumn name="title" id="2"/>
    <tableColumn name="url" id="3"/>
    <tableColumn name="doi (url)" id="4"/>
    <tableColumn name="Eligibility of first author" id="5"/>
    <tableColumn name="First-author criterion" id="6"/>
    <tableColumn name="First author's comments" id="7"/>
    <tableColumn name="Quality Assessment" id="8"/>
    <tableColumn name="year" id="9"/>
    <tableColumn name="month" id="10"/>
    <tableColumn name="day" id="11"/>
    <tableColumn name="journal" id="12"/>
    <tableColumn name="issn" id="13"/>
    <tableColumn name="volume" id="14"/>
    <tableColumn name="issue" id="15"/>
    <tableColumn name="pages" id="16"/>
    <tableColumn name="authors" id="17"/>
    <tableColumn name="language" id="18"/>
    <tableColumn name="publisher" id="19"/>
    <tableColumn name="location" id="20"/>
    <tableColumn name="notes" id="21"/>
    <tableColumn name="keywords" id="22"/>
    <tableColumn name="pubmed_id" id="23"/>
    <tableColumn name="pmc_id" id="24"/>
  </tableColumns>
  <tableStyleInfo name="studies to be analyzed-style" showColumnStripes="0" showFirstColumn="1" showLastColumn="1" showRowStripes="1"/>
</table>
</file>

<file path=xl/tables/table3.xml><?xml version="1.0" encoding="utf-8"?>
<table xmlns="http://schemas.openxmlformats.org/spreadsheetml/2006/main" ref="A1:V46" displayName="Tabela_2" name="Tabela_2" id="2">
  <tableColumns count="22">
    <tableColumn name="id" id="1"/>
    <tableColumn name="title" id="2"/>
    <tableColumn name="url" id="3"/>
    <tableColumn name="doi (url)" id="4"/>
    <tableColumn name="Elegibilidade" id="5"/>
    <tableColumn name="Critério" id="6"/>
    <tableColumn name="year" id="7"/>
    <tableColumn name="month" id="8"/>
    <tableColumn name="day" id="9"/>
    <tableColumn name="journal" id="10"/>
    <tableColumn name="issn" id="11"/>
    <tableColumn name="volume" id="12"/>
    <tableColumn name="issue" id="13"/>
    <tableColumn name="pages" id="14"/>
    <tableColumn name="authors" id="15"/>
    <tableColumn name="language" id="16"/>
    <tableColumn name="publisher" id="17"/>
    <tableColumn name="location" id="18"/>
    <tableColumn name="notes" id="19"/>
    <tableColumn name="keywords" id="20"/>
    <tableColumn name="pubmed_id" id="21"/>
    <tableColumn name="pmc_id" id="22"/>
  </tableColumns>
  <tableStyleInfo name="accepted studies-style" showColumnStripes="0" showFirstColumn="1" showLastColumn="1" showRowStripes="1"/>
</table>
</file>

<file path=xl/tables/table4.xml><?xml version="1.0" encoding="utf-8"?>
<table xmlns="http://schemas.openxmlformats.org/spreadsheetml/2006/main" ref="A1:C11" displayName="Tabela_1" name="Tabela_1" id="1">
  <tableColumns count="3">
    <tableColumn name="CRITÉRIO" id="1"/>
    <tableColumn name="DESCRIÇÃO" id="2"/>
    <tableColumn name="QUANTIDADE" id="3"/>
  </tableColumns>
  <tableStyleInfo name="excluded by criteri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ubmed.ncbi.nlm.nih.gov/32539480/" TargetMode="External"/><Relationship Id="rId42" Type="http://schemas.openxmlformats.org/officeDocument/2006/relationships/hyperlink" Target="https://doi.org/10.1080/15532739.2025.2470417" TargetMode="External"/><Relationship Id="rId41" Type="http://schemas.openxmlformats.org/officeDocument/2006/relationships/hyperlink" Target="https://doi.org/10.1521/aeap.2020.32.2.83" TargetMode="External"/><Relationship Id="rId44" Type="http://schemas.openxmlformats.org/officeDocument/2006/relationships/hyperlink" Target="https://doi.org/10.1080/19361653.2022.2077883" TargetMode="External"/><Relationship Id="rId43" Type="http://schemas.openxmlformats.org/officeDocument/2006/relationships/hyperlink" Target="https://doi.org/10.1016/j.chb.2023.107700" TargetMode="External"/><Relationship Id="rId46" Type="http://schemas.openxmlformats.org/officeDocument/2006/relationships/hyperlink" Target="https://doi.org/10.1145/2702123.2702270" TargetMode="External"/><Relationship Id="rId45" Type="http://schemas.openxmlformats.org/officeDocument/2006/relationships/hyperlink" Target="https://doi.org/10.1145/2702123.2702270" TargetMode="External"/><Relationship Id="rId106" Type="http://schemas.openxmlformats.org/officeDocument/2006/relationships/table" Target="../tables/table1.xml"/><Relationship Id="rId104" Type="http://schemas.openxmlformats.org/officeDocument/2006/relationships/drawing" Target="../drawings/drawing1.xml"/><Relationship Id="rId48" Type="http://schemas.openxmlformats.org/officeDocument/2006/relationships/hyperlink" Target="https://doi.org/10.1002/jia2.25603" TargetMode="External"/><Relationship Id="rId47" Type="http://schemas.openxmlformats.org/officeDocument/2006/relationships/hyperlink" Target="https://pubmed.ncbi.nlm.nih.gov/33000904/" TargetMode="External"/><Relationship Id="rId49" Type="http://schemas.openxmlformats.org/officeDocument/2006/relationships/hyperlink" Target="https://doi.org/10.1177/13678779251336476" TargetMode="External"/><Relationship Id="rId103" Type="http://schemas.openxmlformats.org/officeDocument/2006/relationships/hyperlink" Target="https://doi.org/10.1016/j.chb.2018.12.011" TargetMode="External"/><Relationship Id="rId102" Type="http://schemas.openxmlformats.org/officeDocument/2006/relationships/hyperlink" Target="https://doi.org/10.1145/3637431" TargetMode="External"/><Relationship Id="rId101" Type="http://schemas.openxmlformats.org/officeDocument/2006/relationships/hyperlink" Target="https://doi.org/10.1145/3637431" TargetMode="External"/><Relationship Id="rId100" Type="http://schemas.openxmlformats.org/officeDocument/2006/relationships/hyperlink" Target="https://doi.org/10.1080/1369118X.2021.1889638" TargetMode="External"/><Relationship Id="rId31" Type="http://schemas.openxmlformats.org/officeDocument/2006/relationships/hyperlink" Target="https://doi.org/10.1145/3468507.3468512" TargetMode="External"/><Relationship Id="rId30" Type="http://schemas.openxmlformats.org/officeDocument/2006/relationships/hyperlink" Target="https://doi.org/10.1145/3468507.3468512" TargetMode="External"/><Relationship Id="rId33" Type="http://schemas.openxmlformats.org/officeDocument/2006/relationships/hyperlink" Target="https://doi.org/10.1177/0163443720972312" TargetMode="External"/><Relationship Id="rId32" Type="http://schemas.openxmlformats.org/officeDocument/2006/relationships/hyperlink" Target="https://ijoc.org/index.php/ijoc/article/view/9677" TargetMode="External"/><Relationship Id="rId35" Type="http://schemas.openxmlformats.org/officeDocument/2006/relationships/hyperlink" Target="https://doi.org/10.1007/s00787-024-02396-9" TargetMode="External"/><Relationship Id="rId34" Type="http://schemas.openxmlformats.org/officeDocument/2006/relationships/hyperlink" Target="https://pubmed.ncbi.nlm.nih.gov/38493430/" TargetMode="External"/><Relationship Id="rId37" Type="http://schemas.openxmlformats.org/officeDocument/2006/relationships/hyperlink" Target="https://doi.org/10.1177/1367877920959332" TargetMode="External"/><Relationship Id="rId36" Type="http://schemas.openxmlformats.org/officeDocument/2006/relationships/hyperlink" Target="https://doi.org/10.1177/13678779251322782" TargetMode="External"/><Relationship Id="rId39" Type="http://schemas.openxmlformats.org/officeDocument/2006/relationships/hyperlink" Target="https://doi.org/10.1016/j.chb.2017.07.026" TargetMode="External"/><Relationship Id="rId38" Type="http://schemas.openxmlformats.org/officeDocument/2006/relationships/hyperlink" Target="https://pubmed.ncbi.nlm.nih.gov/29225412/" TargetMode="External"/><Relationship Id="rId20" Type="http://schemas.openxmlformats.org/officeDocument/2006/relationships/hyperlink" Target="https://doi.org/10.1145/2858036.2858136" TargetMode="External"/><Relationship Id="rId22" Type="http://schemas.openxmlformats.org/officeDocument/2006/relationships/hyperlink" Target="https://doi.org/10.1145/2675133.2675152" TargetMode="External"/><Relationship Id="rId21" Type="http://schemas.openxmlformats.org/officeDocument/2006/relationships/hyperlink" Target="https://doi.org/10.1145/2675133.2675152" TargetMode="External"/><Relationship Id="rId24" Type="http://schemas.openxmlformats.org/officeDocument/2006/relationships/hyperlink" Target="https://doi.org/10.1145/3434181" TargetMode="External"/><Relationship Id="rId23" Type="http://schemas.openxmlformats.org/officeDocument/2006/relationships/hyperlink" Target="https://doi.org/10.1177/07435584221150223" TargetMode="External"/><Relationship Id="rId26" Type="http://schemas.openxmlformats.org/officeDocument/2006/relationships/hyperlink" Target="https://pubmed.ncbi.nlm.nih.gov/29861439/" TargetMode="External"/><Relationship Id="rId25" Type="http://schemas.openxmlformats.org/officeDocument/2006/relationships/hyperlink" Target="https://doi.org/10.1145/3434181" TargetMode="External"/><Relationship Id="rId28" Type="http://schemas.openxmlformats.org/officeDocument/2006/relationships/hyperlink" Target="https://pubmed.ncbi.nlm.nih.gov/35832658/" TargetMode="External"/><Relationship Id="rId27" Type="http://schemas.openxmlformats.org/officeDocument/2006/relationships/hyperlink" Target="https://doi.org/10.3390/ijerph15061078" TargetMode="External"/><Relationship Id="rId29" Type="http://schemas.openxmlformats.org/officeDocument/2006/relationships/hyperlink" Target="https://doi.org/10.3389/fdgth.2022.900695" TargetMode="External"/><Relationship Id="rId95" Type="http://schemas.openxmlformats.org/officeDocument/2006/relationships/hyperlink" Target="https://doi.org/10.1080/14681811.2024.2436998" TargetMode="External"/><Relationship Id="rId94" Type="http://schemas.openxmlformats.org/officeDocument/2006/relationships/hyperlink" Target="https://doi.org/10.1080/15538605.2017.1310006" TargetMode="External"/><Relationship Id="rId97" Type="http://schemas.openxmlformats.org/officeDocument/2006/relationships/hyperlink" Target="https://doi.org/10.17576/JKMJC-2020-3601-25" TargetMode="External"/><Relationship Id="rId96" Type="http://schemas.openxmlformats.org/officeDocument/2006/relationships/hyperlink" Target="https://doi.org/10.1080/14680777.2019.1678505" TargetMode="External"/><Relationship Id="rId11" Type="http://schemas.openxmlformats.org/officeDocument/2006/relationships/hyperlink" Target="https://doi.org/10.1080/14680777.2023.2285710" TargetMode="External"/><Relationship Id="rId99" Type="http://schemas.openxmlformats.org/officeDocument/2006/relationships/hyperlink" Target="https://doi.org/10.1093/heapro/daaa061" TargetMode="External"/><Relationship Id="rId10" Type="http://schemas.openxmlformats.org/officeDocument/2006/relationships/hyperlink" Target="https://doi.org/10.1080/14613808.2022.2143489" TargetMode="External"/><Relationship Id="rId98" Type="http://schemas.openxmlformats.org/officeDocument/2006/relationships/hyperlink" Target="https://pubmed.ncbi.nlm.nih.gov/32577721/" TargetMode="External"/><Relationship Id="rId13" Type="http://schemas.openxmlformats.org/officeDocument/2006/relationships/hyperlink" Target="https://doi.org/10.1177/2056305120905365" TargetMode="External"/><Relationship Id="rId12" Type="http://schemas.openxmlformats.org/officeDocument/2006/relationships/hyperlink" Target="https://doi.org/10.1177/2056305121988931" TargetMode="External"/><Relationship Id="rId91" Type="http://schemas.openxmlformats.org/officeDocument/2006/relationships/hyperlink" Target="https://pubmed.ncbi.nlm.nih.gov/31690534/" TargetMode="External"/><Relationship Id="rId90" Type="http://schemas.openxmlformats.org/officeDocument/2006/relationships/hyperlink" Target="https://doi.org/10.1080/0966369X.2017.1396204" TargetMode="External"/><Relationship Id="rId93" Type="http://schemas.openxmlformats.org/officeDocument/2006/relationships/hyperlink" Target="https://doi.org/10.1177/01634437211027106" TargetMode="External"/><Relationship Id="rId92" Type="http://schemas.openxmlformats.org/officeDocument/2006/relationships/hyperlink" Target="https://doi.org/10.1016/j.jadohealth.2019.08.011" TargetMode="External"/><Relationship Id="rId15" Type="http://schemas.openxmlformats.org/officeDocument/2006/relationships/hyperlink" Target="https://pubmed.ncbi.nlm.nih.gov/34823648/" TargetMode="External"/><Relationship Id="rId14" Type="http://schemas.openxmlformats.org/officeDocument/2006/relationships/hyperlink" Target="https://doi.org/10.1177/1461444819890353" TargetMode="External"/><Relationship Id="rId17" Type="http://schemas.openxmlformats.org/officeDocument/2006/relationships/hyperlink" Target="https://pubmed.ncbi.nlm.nih.gov/40700746/" TargetMode="External"/><Relationship Id="rId16" Type="http://schemas.openxmlformats.org/officeDocument/2006/relationships/hyperlink" Target="https://doi.org/10.1071/SH21110_CO" TargetMode="External"/><Relationship Id="rId19" Type="http://schemas.openxmlformats.org/officeDocument/2006/relationships/hyperlink" Target="https://doi.org/10.1145/2858036.2858136" TargetMode="External"/><Relationship Id="rId18" Type="http://schemas.openxmlformats.org/officeDocument/2006/relationships/hyperlink" Target="https://doi.org/10.2196/72452" TargetMode="External"/><Relationship Id="rId84" Type="http://schemas.openxmlformats.org/officeDocument/2006/relationships/hyperlink" Target="https://doi.org/10.1002/casp.2859" TargetMode="External"/><Relationship Id="rId83" Type="http://schemas.openxmlformats.org/officeDocument/2006/relationships/hyperlink" Target="https://doi.org/10.1177/1461444820981009" TargetMode="External"/><Relationship Id="rId86" Type="http://schemas.openxmlformats.org/officeDocument/2006/relationships/hyperlink" Target="https://doi.org/10.1145/3643834.3661564" TargetMode="External"/><Relationship Id="rId85" Type="http://schemas.openxmlformats.org/officeDocument/2006/relationships/hyperlink" Target="https://doi.org/10.1177/14614448241266782" TargetMode="External"/><Relationship Id="rId88" Type="http://schemas.openxmlformats.org/officeDocument/2006/relationships/hyperlink" Target="https://doi.org/10.1145/3415195" TargetMode="External"/><Relationship Id="rId87" Type="http://schemas.openxmlformats.org/officeDocument/2006/relationships/hyperlink" Target="https://doi.org/10.1145/3643834.3661564" TargetMode="External"/><Relationship Id="rId89" Type="http://schemas.openxmlformats.org/officeDocument/2006/relationships/hyperlink" Target="https://doi.org/10.1145/3415195" TargetMode="External"/><Relationship Id="rId80" Type="http://schemas.openxmlformats.org/officeDocument/2006/relationships/hyperlink" Target="https://doi.org/10.17645/si.v10i2.4950" TargetMode="External"/><Relationship Id="rId82" Type="http://schemas.openxmlformats.org/officeDocument/2006/relationships/hyperlink" Target="https://doi.org/10.1177/0163443719846612" TargetMode="External"/><Relationship Id="rId81" Type="http://schemas.openxmlformats.org/officeDocument/2006/relationships/hyperlink" Target="https://doi.org/10.1002/asi.24217" TargetMode="External"/><Relationship Id="rId1" Type="http://schemas.openxmlformats.org/officeDocument/2006/relationships/hyperlink" Target="https://pubmed.ncbi.nlm.nih.gov/35682144/" TargetMode="External"/><Relationship Id="rId2" Type="http://schemas.openxmlformats.org/officeDocument/2006/relationships/hyperlink" Target="https://doi.org/10.3390/ijerph19116560" TargetMode="External"/><Relationship Id="rId3" Type="http://schemas.openxmlformats.org/officeDocument/2006/relationships/hyperlink" Target="https://pubmed.ncbi.nlm.nih.gov/37351920/" TargetMode="External"/><Relationship Id="rId4" Type="http://schemas.openxmlformats.org/officeDocument/2006/relationships/hyperlink" Target="https://doi.org/10.2196/41881" TargetMode="External"/><Relationship Id="rId9" Type="http://schemas.openxmlformats.org/officeDocument/2006/relationships/hyperlink" Target="https://doi.org/10.1001/jamanetworkopen.2023.24389" TargetMode="External"/><Relationship Id="rId5" Type="http://schemas.openxmlformats.org/officeDocument/2006/relationships/hyperlink" Target="https://doi.org/10.1080/10130950.2019.1704485" TargetMode="External"/><Relationship Id="rId6" Type="http://schemas.openxmlformats.org/officeDocument/2006/relationships/hyperlink" Target="https://journals-sol.sbc.org.br/index.php/jis/article/view/693" TargetMode="External"/><Relationship Id="rId7" Type="http://schemas.openxmlformats.org/officeDocument/2006/relationships/hyperlink" Target="https://doi.org/10.5753/jis.2018.693" TargetMode="External"/><Relationship Id="rId8" Type="http://schemas.openxmlformats.org/officeDocument/2006/relationships/hyperlink" Target="https://pubmed.ncbi.nlm.nih.gov/37486631/" TargetMode="External"/><Relationship Id="rId73" Type="http://schemas.openxmlformats.org/officeDocument/2006/relationships/hyperlink" Target="https://doi.org/10.1145/3274332" TargetMode="External"/><Relationship Id="rId72" Type="http://schemas.openxmlformats.org/officeDocument/2006/relationships/hyperlink" Target="https://doi.org/10.1145/3274332" TargetMode="External"/><Relationship Id="rId75" Type="http://schemas.openxmlformats.org/officeDocument/2006/relationships/hyperlink" Target="https://doi.org/10.1007/s11245-023-09994-3" TargetMode="External"/><Relationship Id="rId74" Type="http://schemas.openxmlformats.org/officeDocument/2006/relationships/hyperlink" Target="https://doi.org/10.3390/socsci13090483" TargetMode="External"/><Relationship Id="rId77" Type="http://schemas.openxmlformats.org/officeDocument/2006/relationships/hyperlink" Target="https://doi.org/10.1080/26895269.2023.2252410" TargetMode="External"/><Relationship Id="rId76" Type="http://schemas.openxmlformats.org/officeDocument/2006/relationships/hyperlink" Target="https://pubmed.ncbi.nlm.nih.gov/38328588/" TargetMode="External"/><Relationship Id="rId79" Type="http://schemas.openxmlformats.org/officeDocument/2006/relationships/hyperlink" Target="https://doi.org/10.1071/SH21110" TargetMode="External"/><Relationship Id="rId78" Type="http://schemas.openxmlformats.org/officeDocument/2006/relationships/hyperlink" Target="https://pubmed.ncbi.nlm.nih.gov/34706814/" TargetMode="External"/><Relationship Id="rId71" Type="http://schemas.openxmlformats.org/officeDocument/2006/relationships/hyperlink" Target="https://doi.org/10.1145/3706598.3713136" TargetMode="External"/><Relationship Id="rId70" Type="http://schemas.openxmlformats.org/officeDocument/2006/relationships/hyperlink" Target="https://doi.org/10.1145/3706598.3713136" TargetMode="External"/><Relationship Id="rId62" Type="http://schemas.openxmlformats.org/officeDocument/2006/relationships/hyperlink" Target="https://doi.org/10.1145/3411764.3445742" TargetMode="External"/><Relationship Id="rId61" Type="http://schemas.openxmlformats.org/officeDocument/2006/relationships/hyperlink" Target="https://doi.org/10.1177/20563051241302145" TargetMode="External"/><Relationship Id="rId64" Type="http://schemas.openxmlformats.org/officeDocument/2006/relationships/hyperlink" Target="https://doi.org/10.1145/3274424" TargetMode="External"/><Relationship Id="rId63" Type="http://schemas.openxmlformats.org/officeDocument/2006/relationships/hyperlink" Target="https://doi.org/10.1145/3411764.3445742" TargetMode="External"/><Relationship Id="rId66" Type="http://schemas.openxmlformats.org/officeDocument/2006/relationships/hyperlink" Target="https://doi.org/10.1080/2005615X.2017.1313482" TargetMode="External"/><Relationship Id="rId65" Type="http://schemas.openxmlformats.org/officeDocument/2006/relationships/hyperlink" Target="https://doi.org/10.1145/3274424" TargetMode="External"/><Relationship Id="rId68" Type="http://schemas.openxmlformats.org/officeDocument/2006/relationships/hyperlink" Target="https://doi.org/10.1145/3369457.3369497" TargetMode="External"/><Relationship Id="rId67" Type="http://schemas.openxmlformats.org/officeDocument/2006/relationships/hyperlink" Target="https://doi.org/10.1111/soc4.13073" TargetMode="External"/><Relationship Id="rId60" Type="http://schemas.openxmlformats.org/officeDocument/2006/relationships/hyperlink" Target="https://doi.org/10.1177/13548565241299281" TargetMode="External"/><Relationship Id="rId69" Type="http://schemas.openxmlformats.org/officeDocument/2006/relationships/hyperlink" Target="https://doi.org/10.1145/3369457.3369497" TargetMode="External"/><Relationship Id="rId51" Type="http://schemas.openxmlformats.org/officeDocument/2006/relationships/hyperlink" Target="https://doi.org/10.1111/jcom.12137" TargetMode="External"/><Relationship Id="rId50" Type="http://schemas.openxmlformats.org/officeDocument/2006/relationships/hyperlink" Target="https://doi.org/10.1177/14614448251356454" TargetMode="External"/><Relationship Id="rId53" Type="http://schemas.openxmlformats.org/officeDocument/2006/relationships/hyperlink" Target="https://doi.org/10.1145/3706598.3713592" TargetMode="External"/><Relationship Id="rId52" Type="http://schemas.openxmlformats.org/officeDocument/2006/relationships/hyperlink" Target="https://doi.org/10.1016/j.chb.2016.06.009" TargetMode="External"/><Relationship Id="rId55" Type="http://schemas.openxmlformats.org/officeDocument/2006/relationships/hyperlink" Target="https://doi.org/10.1177/13548565251383672" TargetMode="External"/><Relationship Id="rId54" Type="http://schemas.openxmlformats.org/officeDocument/2006/relationships/hyperlink" Target="https://doi.org/10.1145/3706598.3713592" TargetMode="External"/><Relationship Id="rId57" Type="http://schemas.openxmlformats.org/officeDocument/2006/relationships/hyperlink" Target="https://doi.org/10.1145/3173574.3173824" TargetMode="External"/><Relationship Id="rId56" Type="http://schemas.openxmlformats.org/officeDocument/2006/relationships/hyperlink" Target="https://doi.org/10.1145/3173574.3173824" TargetMode="External"/><Relationship Id="rId59" Type="http://schemas.openxmlformats.org/officeDocument/2006/relationships/hyperlink" Target="https://doi.org/10.1177/1461444814544000" TargetMode="External"/><Relationship Id="rId58" Type="http://schemas.openxmlformats.org/officeDocument/2006/relationships/hyperlink" Target="https://doi.org/10.1080/17508487.2024.2388705"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i.org/10.1016/j.jadohealth.2019.08.011" TargetMode="External"/><Relationship Id="rId42" Type="http://schemas.openxmlformats.org/officeDocument/2006/relationships/hyperlink" Target="https://doi.org/10.1177/2056305121988931" TargetMode="External"/><Relationship Id="rId41" Type="http://schemas.openxmlformats.org/officeDocument/2006/relationships/hyperlink" Target="https://doi.org/10.17576/JKMJC-2020-3601-25" TargetMode="External"/><Relationship Id="rId44" Type="http://schemas.openxmlformats.org/officeDocument/2006/relationships/hyperlink" Target="https://pubmed.ncbi.nlm.nih.gov/34823648/" TargetMode="External"/><Relationship Id="rId43" Type="http://schemas.openxmlformats.org/officeDocument/2006/relationships/hyperlink" Target="https://doi.org/10.1177/1461444819890353" TargetMode="External"/><Relationship Id="rId46" Type="http://schemas.openxmlformats.org/officeDocument/2006/relationships/hyperlink" Target="https://doi.org/10.1145/3434181" TargetMode="External"/><Relationship Id="rId45" Type="http://schemas.openxmlformats.org/officeDocument/2006/relationships/hyperlink" Target="https://doi.org/10.1071/SH21110_CO" TargetMode="External"/><Relationship Id="rId106" Type="http://schemas.openxmlformats.org/officeDocument/2006/relationships/table" Target="../tables/table2.xml"/><Relationship Id="rId104" Type="http://schemas.openxmlformats.org/officeDocument/2006/relationships/drawing" Target="../drawings/drawing2.xml"/><Relationship Id="rId48" Type="http://schemas.openxmlformats.org/officeDocument/2006/relationships/hyperlink" Target="https://doi.org/10.1145/3468507.3468512" TargetMode="External"/><Relationship Id="rId47" Type="http://schemas.openxmlformats.org/officeDocument/2006/relationships/hyperlink" Target="https://doi.org/10.1145/3434181" TargetMode="External"/><Relationship Id="rId49" Type="http://schemas.openxmlformats.org/officeDocument/2006/relationships/hyperlink" Target="https://doi.org/10.1145/3468507.3468512" TargetMode="External"/><Relationship Id="rId103" Type="http://schemas.openxmlformats.org/officeDocument/2006/relationships/hyperlink" Target="https://doi.org/10.1145/3706598.3713136" TargetMode="External"/><Relationship Id="rId102" Type="http://schemas.openxmlformats.org/officeDocument/2006/relationships/hyperlink" Target="https://doi.org/10.1145/3706598.3713136" TargetMode="External"/><Relationship Id="rId101" Type="http://schemas.openxmlformats.org/officeDocument/2006/relationships/hyperlink" Target="https://doi.org/10.1080/17508487.2024.2388705" TargetMode="External"/><Relationship Id="rId100" Type="http://schemas.openxmlformats.org/officeDocument/2006/relationships/hyperlink" Target="https://doi.org/10.1177/13548565251383672" TargetMode="External"/><Relationship Id="rId31" Type="http://schemas.openxmlformats.org/officeDocument/2006/relationships/hyperlink" Target="https://pubmed.ncbi.nlm.nih.gov/32539480/" TargetMode="External"/><Relationship Id="rId30" Type="http://schemas.openxmlformats.org/officeDocument/2006/relationships/hyperlink" Target="https://doi.org/10.1177/2056305120905365" TargetMode="External"/><Relationship Id="rId33" Type="http://schemas.openxmlformats.org/officeDocument/2006/relationships/hyperlink" Target="https://pubmed.ncbi.nlm.nih.gov/33000904/" TargetMode="External"/><Relationship Id="rId32" Type="http://schemas.openxmlformats.org/officeDocument/2006/relationships/hyperlink" Target="https://doi.org/10.1521/aeap.2020.32.2.83" TargetMode="External"/><Relationship Id="rId35" Type="http://schemas.openxmlformats.org/officeDocument/2006/relationships/hyperlink" Target="https://doi.org/10.1145/3369457.3369497" TargetMode="External"/><Relationship Id="rId34" Type="http://schemas.openxmlformats.org/officeDocument/2006/relationships/hyperlink" Target="https://doi.org/10.1002/jia2.25603" TargetMode="External"/><Relationship Id="rId37" Type="http://schemas.openxmlformats.org/officeDocument/2006/relationships/hyperlink" Target="https://doi.org/10.1145/3415195" TargetMode="External"/><Relationship Id="rId36" Type="http://schemas.openxmlformats.org/officeDocument/2006/relationships/hyperlink" Target="https://doi.org/10.1145/3369457.3369497" TargetMode="External"/><Relationship Id="rId39" Type="http://schemas.openxmlformats.org/officeDocument/2006/relationships/hyperlink" Target="https://pubmed.ncbi.nlm.nih.gov/31690534/" TargetMode="External"/><Relationship Id="rId38" Type="http://schemas.openxmlformats.org/officeDocument/2006/relationships/hyperlink" Target="https://doi.org/10.1145/3415195" TargetMode="External"/><Relationship Id="rId20" Type="http://schemas.openxmlformats.org/officeDocument/2006/relationships/hyperlink" Target="https://doi.org/10.1145/3173574.3173824" TargetMode="External"/><Relationship Id="rId22" Type="http://schemas.openxmlformats.org/officeDocument/2006/relationships/hyperlink" Target="https://doi.org/10.1145/3274424" TargetMode="External"/><Relationship Id="rId21" Type="http://schemas.openxmlformats.org/officeDocument/2006/relationships/hyperlink" Target="https://doi.org/10.1145/3274424" TargetMode="External"/><Relationship Id="rId24" Type="http://schemas.openxmlformats.org/officeDocument/2006/relationships/hyperlink" Target="https://doi.org/10.1145/3274332" TargetMode="External"/><Relationship Id="rId23" Type="http://schemas.openxmlformats.org/officeDocument/2006/relationships/hyperlink" Target="https://doi.org/10.1145/3274332" TargetMode="External"/><Relationship Id="rId26" Type="http://schemas.openxmlformats.org/officeDocument/2006/relationships/hyperlink" Target="https://doi.org/10.1002/asi.24217" TargetMode="External"/><Relationship Id="rId25" Type="http://schemas.openxmlformats.org/officeDocument/2006/relationships/hyperlink" Target="https://ijoc.org/index.php/ijoc/article/view/9677" TargetMode="External"/><Relationship Id="rId28" Type="http://schemas.openxmlformats.org/officeDocument/2006/relationships/hyperlink" Target="https://doi.org/10.1016/j.chb.2018.12.011" TargetMode="External"/><Relationship Id="rId27" Type="http://schemas.openxmlformats.org/officeDocument/2006/relationships/hyperlink" Target="https://doi.org/10.1177/0163443719846612" TargetMode="External"/><Relationship Id="rId29" Type="http://schemas.openxmlformats.org/officeDocument/2006/relationships/hyperlink" Target="https://doi.org/10.1080/10130950.2019.1704485" TargetMode="External"/><Relationship Id="rId95" Type="http://schemas.openxmlformats.org/officeDocument/2006/relationships/hyperlink" Target="https://doi.org/10.1080/15532739.2025.2470417" TargetMode="External"/><Relationship Id="rId94" Type="http://schemas.openxmlformats.org/officeDocument/2006/relationships/hyperlink" Target="https://doi.org/10.1177/13678779251322782" TargetMode="External"/><Relationship Id="rId97" Type="http://schemas.openxmlformats.org/officeDocument/2006/relationships/hyperlink" Target="https://doi.org/10.1177/14614448251356454" TargetMode="External"/><Relationship Id="rId96" Type="http://schemas.openxmlformats.org/officeDocument/2006/relationships/hyperlink" Target="https://doi.org/10.1177/13678779251336476" TargetMode="External"/><Relationship Id="rId11" Type="http://schemas.openxmlformats.org/officeDocument/2006/relationships/hyperlink" Target="https://doi.org/10.1016/j.chb.2017.07.026" TargetMode="External"/><Relationship Id="rId99" Type="http://schemas.openxmlformats.org/officeDocument/2006/relationships/hyperlink" Target="https://doi.org/10.1145/3706598.3713592" TargetMode="External"/><Relationship Id="rId10" Type="http://schemas.openxmlformats.org/officeDocument/2006/relationships/hyperlink" Target="https://pubmed.ncbi.nlm.nih.gov/29225412/" TargetMode="External"/><Relationship Id="rId98" Type="http://schemas.openxmlformats.org/officeDocument/2006/relationships/hyperlink" Target="https://doi.org/10.1145/3706598.3713592" TargetMode="External"/><Relationship Id="rId13" Type="http://schemas.openxmlformats.org/officeDocument/2006/relationships/hyperlink" Target="https://doi.org/10.1080/0966369X.2017.1396204" TargetMode="External"/><Relationship Id="rId12" Type="http://schemas.openxmlformats.org/officeDocument/2006/relationships/hyperlink" Target="https://doi.org/10.1080/2005615X.2017.1313482" TargetMode="External"/><Relationship Id="rId91" Type="http://schemas.openxmlformats.org/officeDocument/2006/relationships/hyperlink" Target="https://pubmed.ncbi.nlm.nih.gov/40700746/" TargetMode="External"/><Relationship Id="rId90" Type="http://schemas.openxmlformats.org/officeDocument/2006/relationships/hyperlink" Target="https://doi.org/10.1080/14680777.2023.2285710" TargetMode="External"/><Relationship Id="rId93" Type="http://schemas.openxmlformats.org/officeDocument/2006/relationships/hyperlink" Target="https://doi.org/10.1177/07435584221150223" TargetMode="External"/><Relationship Id="rId92" Type="http://schemas.openxmlformats.org/officeDocument/2006/relationships/hyperlink" Target="https://doi.org/10.2196/72452" TargetMode="External"/><Relationship Id="rId15" Type="http://schemas.openxmlformats.org/officeDocument/2006/relationships/hyperlink" Target="https://journals-sol.sbc.org.br/index.php/jis/article/view/693" TargetMode="External"/><Relationship Id="rId14" Type="http://schemas.openxmlformats.org/officeDocument/2006/relationships/hyperlink" Target="https://doi.org/10.1080/15538605.2017.1310006" TargetMode="External"/><Relationship Id="rId17" Type="http://schemas.openxmlformats.org/officeDocument/2006/relationships/hyperlink" Target="https://pubmed.ncbi.nlm.nih.gov/29861439/" TargetMode="External"/><Relationship Id="rId16" Type="http://schemas.openxmlformats.org/officeDocument/2006/relationships/hyperlink" Target="https://doi.org/10.5753/jis.2018.693" TargetMode="External"/><Relationship Id="rId19" Type="http://schemas.openxmlformats.org/officeDocument/2006/relationships/hyperlink" Target="https://doi.org/10.1145/3173574.3173824" TargetMode="External"/><Relationship Id="rId18" Type="http://schemas.openxmlformats.org/officeDocument/2006/relationships/hyperlink" Target="https://doi.org/10.3390/ijerph15061078" TargetMode="External"/><Relationship Id="rId84" Type="http://schemas.openxmlformats.org/officeDocument/2006/relationships/hyperlink" Target="https://doi.org/10.1177/14614448241266782" TargetMode="External"/><Relationship Id="rId83" Type="http://schemas.openxmlformats.org/officeDocument/2006/relationships/hyperlink" Target="https://doi.org/10.1002/casp.2859" TargetMode="External"/><Relationship Id="rId86" Type="http://schemas.openxmlformats.org/officeDocument/2006/relationships/hyperlink" Target="https://doi.org/10.1145/3643834.3661564" TargetMode="External"/><Relationship Id="rId85" Type="http://schemas.openxmlformats.org/officeDocument/2006/relationships/hyperlink" Target="https://doi.org/10.1145/3643834.3661564" TargetMode="External"/><Relationship Id="rId88" Type="http://schemas.openxmlformats.org/officeDocument/2006/relationships/hyperlink" Target="https://doi.org/10.1145/3637431" TargetMode="External"/><Relationship Id="rId87" Type="http://schemas.openxmlformats.org/officeDocument/2006/relationships/hyperlink" Target="https://doi.org/10.1080/14681811.2024.2436998" TargetMode="External"/><Relationship Id="rId89" Type="http://schemas.openxmlformats.org/officeDocument/2006/relationships/hyperlink" Target="https://doi.org/10.1145/3637431" TargetMode="External"/><Relationship Id="rId80" Type="http://schemas.openxmlformats.org/officeDocument/2006/relationships/hyperlink" Target="https://doi.org/10.1007/s11245-023-09994-3" TargetMode="External"/><Relationship Id="rId82" Type="http://schemas.openxmlformats.org/officeDocument/2006/relationships/hyperlink" Target="https://doi.org/10.1080/26895269.2023.2252410" TargetMode="External"/><Relationship Id="rId81" Type="http://schemas.openxmlformats.org/officeDocument/2006/relationships/hyperlink" Target="https://pubmed.ncbi.nlm.nih.gov/38328588/" TargetMode="External"/><Relationship Id="rId1" Type="http://schemas.openxmlformats.org/officeDocument/2006/relationships/hyperlink" Target="https://doi.org/10.1177/1461444814544000" TargetMode="External"/><Relationship Id="rId2" Type="http://schemas.openxmlformats.org/officeDocument/2006/relationships/hyperlink" Target="https://doi.org/10.1145/2675133.2675152" TargetMode="External"/><Relationship Id="rId3" Type="http://schemas.openxmlformats.org/officeDocument/2006/relationships/hyperlink" Target="https://doi.org/10.1145/2675133.2675152" TargetMode="External"/><Relationship Id="rId4" Type="http://schemas.openxmlformats.org/officeDocument/2006/relationships/hyperlink" Target="https://doi.org/10.1145/2702123.2702270" TargetMode="External"/><Relationship Id="rId9" Type="http://schemas.openxmlformats.org/officeDocument/2006/relationships/hyperlink" Target="https://doi.org/10.1016/j.chb.2016.06.009" TargetMode="External"/><Relationship Id="rId5" Type="http://schemas.openxmlformats.org/officeDocument/2006/relationships/hyperlink" Target="https://doi.org/10.1145/2702123.2702270" TargetMode="External"/><Relationship Id="rId6" Type="http://schemas.openxmlformats.org/officeDocument/2006/relationships/hyperlink" Target="https://doi.org/10.1111/jcom.12137" TargetMode="External"/><Relationship Id="rId7" Type="http://schemas.openxmlformats.org/officeDocument/2006/relationships/hyperlink" Target="https://doi.org/10.1145/2858036.2858136" TargetMode="External"/><Relationship Id="rId8" Type="http://schemas.openxmlformats.org/officeDocument/2006/relationships/hyperlink" Target="https://doi.org/10.1145/2858036.2858136" TargetMode="External"/><Relationship Id="rId73" Type="http://schemas.openxmlformats.org/officeDocument/2006/relationships/hyperlink" Target="https://doi.org/10.1080/19361653.2022.2077883" TargetMode="External"/><Relationship Id="rId72" Type="http://schemas.openxmlformats.org/officeDocument/2006/relationships/hyperlink" Target="https://doi.org/10.1016/j.chb.2023.107700" TargetMode="External"/><Relationship Id="rId75" Type="http://schemas.openxmlformats.org/officeDocument/2006/relationships/hyperlink" Target="https://pubmed.ncbi.nlm.nih.gov/38493430/" TargetMode="External"/><Relationship Id="rId74" Type="http://schemas.openxmlformats.org/officeDocument/2006/relationships/hyperlink" Target="https://doi.org/10.1111/soc4.13073" TargetMode="External"/><Relationship Id="rId77" Type="http://schemas.openxmlformats.org/officeDocument/2006/relationships/hyperlink" Target="https://doi.org/10.1177/13548565241299281" TargetMode="External"/><Relationship Id="rId76" Type="http://schemas.openxmlformats.org/officeDocument/2006/relationships/hyperlink" Target="https://doi.org/10.1007/s00787-024-02396-9" TargetMode="External"/><Relationship Id="rId79" Type="http://schemas.openxmlformats.org/officeDocument/2006/relationships/hyperlink" Target="https://doi.org/10.3390/socsci13090483" TargetMode="External"/><Relationship Id="rId78" Type="http://schemas.openxmlformats.org/officeDocument/2006/relationships/hyperlink" Target="https://doi.org/10.1177/20563051241302145" TargetMode="External"/><Relationship Id="rId71" Type="http://schemas.openxmlformats.org/officeDocument/2006/relationships/hyperlink" Target="https://doi.org/10.1080/14613808.2022.2143489" TargetMode="External"/><Relationship Id="rId70" Type="http://schemas.openxmlformats.org/officeDocument/2006/relationships/hyperlink" Target="https://doi.org/10.1001/jamanetworkopen.2023.24389" TargetMode="External"/><Relationship Id="rId62" Type="http://schemas.openxmlformats.org/officeDocument/2006/relationships/hyperlink" Target="https://doi.org/10.3389/fdgth.2022.900695" TargetMode="External"/><Relationship Id="rId61" Type="http://schemas.openxmlformats.org/officeDocument/2006/relationships/hyperlink" Target="https://pubmed.ncbi.nlm.nih.gov/35832658/" TargetMode="External"/><Relationship Id="rId64" Type="http://schemas.openxmlformats.org/officeDocument/2006/relationships/hyperlink" Target="https://doi.org/10.1177/1461444820981009" TargetMode="External"/><Relationship Id="rId63" Type="http://schemas.openxmlformats.org/officeDocument/2006/relationships/hyperlink" Target="https://doi.org/10.17645/si.v10i2.4950" TargetMode="External"/><Relationship Id="rId66" Type="http://schemas.openxmlformats.org/officeDocument/2006/relationships/hyperlink" Target="https://doi.org/10.1080/1369118X.2021.1889638" TargetMode="External"/><Relationship Id="rId65" Type="http://schemas.openxmlformats.org/officeDocument/2006/relationships/hyperlink" Target="https://doi.org/10.1177/01634437211027106" TargetMode="External"/><Relationship Id="rId68" Type="http://schemas.openxmlformats.org/officeDocument/2006/relationships/hyperlink" Target="https://doi.org/10.2196/41881" TargetMode="External"/><Relationship Id="rId67" Type="http://schemas.openxmlformats.org/officeDocument/2006/relationships/hyperlink" Target="https://pubmed.ncbi.nlm.nih.gov/37351920/" TargetMode="External"/><Relationship Id="rId60" Type="http://schemas.openxmlformats.org/officeDocument/2006/relationships/hyperlink" Target="https://doi.org/10.3390/ijerph19116560" TargetMode="External"/><Relationship Id="rId69" Type="http://schemas.openxmlformats.org/officeDocument/2006/relationships/hyperlink" Target="https://pubmed.ncbi.nlm.nih.gov/37486631/" TargetMode="External"/><Relationship Id="rId51" Type="http://schemas.openxmlformats.org/officeDocument/2006/relationships/hyperlink" Target="https://doi.org/10.1177/1367877920959332" TargetMode="External"/><Relationship Id="rId50" Type="http://schemas.openxmlformats.org/officeDocument/2006/relationships/hyperlink" Target="https://doi.org/10.1177/0163443720972312" TargetMode="External"/><Relationship Id="rId53" Type="http://schemas.openxmlformats.org/officeDocument/2006/relationships/hyperlink" Target="https://doi.org/10.1145/3411764.3445742" TargetMode="External"/><Relationship Id="rId52" Type="http://schemas.openxmlformats.org/officeDocument/2006/relationships/hyperlink" Target="https://doi.org/10.1145/3411764.3445742" TargetMode="External"/><Relationship Id="rId55" Type="http://schemas.openxmlformats.org/officeDocument/2006/relationships/hyperlink" Target="https://doi.org/10.1071/SH21110" TargetMode="External"/><Relationship Id="rId54" Type="http://schemas.openxmlformats.org/officeDocument/2006/relationships/hyperlink" Target="https://pubmed.ncbi.nlm.nih.gov/34706814/" TargetMode="External"/><Relationship Id="rId57" Type="http://schemas.openxmlformats.org/officeDocument/2006/relationships/hyperlink" Target="https://pubmed.ncbi.nlm.nih.gov/32577721/" TargetMode="External"/><Relationship Id="rId56" Type="http://schemas.openxmlformats.org/officeDocument/2006/relationships/hyperlink" Target="https://doi.org/10.1080/14680777.2019.1678505" TargetMode="External"/><Relationship Id="rId59" Type="http://schemas.openxmlformats.org/officeDocument/2006/relationships/hyperlink" Target="https://pubmed.ncbi.nlm.nih.gov/35682144/" TargetMode="External"/><Relationship Id="rId58" Type="http://schemas.openxmlformats.org/officeDocument/2006/relationships/hyperlink" Target="https://doi.org/10.1093/heapro/daaa061"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pubmed.ncbi.nlm.nih.gov/35682144/" TargetMode="External"/><Relationship Id="rId42" Type="http://schemas.openxmlformats.org/officeDocument/2006/relationships/hyperlink" Target="https://pubmed.ncbi.nlm.nih.gov/35832658/" TargetMode="External"/><Relationship Id="rId41" Type="http://schemas.openxmlformats.org/officeDocument/2006/relationships/hyperlink" Target="https://doi.org/10.3390/ijerph19116560" TargetMode="External"/><Relationship Id="rId44" Type="http://schemas.openxmlformats.org/officeDocument/2006/relationships/hyperlink" Target="https://doi.org/10.17645/si.v10i2.4950" TargetMode="External"/><Relationship Id="rId43" Type="http://schemas.openxmlformats.org/officeDocument/2006/relationships/hyperlink" Target="https://doi.org/10.3389/fdgth.2022.900695" TargetMode="External"/><Relationship Id="rId46" Type="http://schemas.openxmlformats.org/officeDocument/2006/relationships/hyperlink" Target="https://doi.org/10.1080/14613808.2022.2143489" TargetMode="External"/><Relationship Id="rId45" Type="http://schemas.openxmlformats.org/officeDocument/2006/relationships/hyperlink" Target="https://doi.org/10.1177/01634437211027106" TargetMode="External"/><Relationship Id="rId48" Type="http://schemas.openxmlformats.org/officeDocument/2006/relationships/hyperlink" Target="https://doi.org/10.1080/19361653.2022.2077883" TargetMode="External"/><Relationship Id="rId47" Type="http://schemas.openxmlformats.org/officeDocument/2006/relationships/hyperlink" Target="https://doi.org/10.1016/j.chb.2023.107700" TargetMode="External"/><Relationship Id="rId49" Type="http://schemas.openxmlformats.org/officeDocument/2006/relationships/hyperlink" Target="https://doi.org/10.1111/soc4.13073" TargetMode="External"/><Relationship Id="rId31" Type="http://schemas.openxmlformats.org/officeDocument/2006/relationships/hyperlink" Target="https://doi.org/10.1145/3434181" TargetMode="External"/><Relationship Id="rId30" Type="http://schemas.openxmlformats.org/officeDocument/2006/relationships/hyperlink" Target="https://doi.org/10.1145/3434181" TargetMode="External"/><Relationship Id="rId33" Type="http://schemas.openxmlformats.org/officeDocument/2006/relationships/hyperlink" Target="https://doi.org/10.1145/3468507.3468512" TargetMode="External"/><Relationship Id="rId32" Type="http://schemas.openxmlformats.org/officeDocument/2006/relationships/hyperlink" Target="https://doi.org/10.1145/3468507.3468512" TargetMode="External"/><Relationship Id="rId35" Type="http://schemas.openxmlformats.org/officeDocument/2006/relationships/hyperlink" Target="https://doi.org/10.1145/3411764.3445742" TargetMode="External"/><Relationship Id="rId34" Type="http://schemas.openxmlformats.org/officeDocument/2006/relationships/hyperlink" Target="https://doi.org/10.1177/1367877920959332" TargetMode="External"/><Relationship Id="rId37" Type="http://schemas.openxmlformats.org/officeDocument/2006/relationships/hyperlink" Target="https://doi.org/10.1080/14680777.2019.1678505" TargetMode="External"/><Relationship Id="rId36" Type="http://schemas.openxmlformats.org/officeDocument/2006/relationships/hyperlink" Target="https://doi.org/10.1145/3411764.3445742" TargetMode="External"/><Relationship Id="rId39" Type="http://schemas.openxmlformats.org/officeDocument/2006/relationships/hyperlink" Target="https://doi.org/10.1093/heapro/daaa061" TargetMode="External"/><Relationship Id="rId38" Type="http://schemas.openxmlformats.org/officeDocument/2006/relationships/hyperlink" Target="https://pubmed.ncbi.nlm.nih.gov/32577721/" TargetMode="External"/><Relationship Id="rId20" Type="http://schemas.openxmlformats.org/officeDocument/2006/relationships/hyperlink" Target="https://doi.org/10.1177/2056305120905365" TargetMode="External"/><Relationship Id="rId22" Type="http://schemas.openxmlformats.org/officeDocument/2006/relationships/hyperlink" Target="https://doi.org/10.1521/aeap.2020.32.2.83" TargetMode="External"/><Relationship Id="rId21" Type="http://schemas.openxmlformats.org/officeDocument/2006/relationships/hyperlink" Target="https://pubmed.ncbi.nlm.nih.gov/32539480/" TargetMode="External"/><Relationship Id="rId24" Type="http://schemas.openxmlformats.org/officeDocument/2006/relationships/hyperlink" Target="https://doi.org/10.1145/3415195" TargetMode="External"/><Relationship Id="rId23" Type="http://schemas.openxmlformats.org/officeDocument/2006/relationships/hyperlink" Target="https://doi.org/10.1145/3415195" TargetMode="External"/><Relationship Id="rId26" Type="http://schemas.openxmlformats.org/officeDocument/2006/relationships/hyperlink" Target="https://doi.org/10.1016/j.jadohealth.2019.08.011" TargetMode="External"/><Relationship Id="rId25" Type="http://schemas.openxmlformats.org/officeDocument/2006/relationships/hyperlink" Target="https://pubmed.ncbi.nlm.nih.gov/31690534/" TargetMode="External"/><Relationship Id="rId28" Type="http://schemas.openxmlformats.org/officeDocument/2006/relationships/hyperlink" Target="https://pubmed.ncbi.nlm.nih.gov/34823648/" TargetMode="External"/><Relationship Id="rId27" Type="http://schemas.openxmlformats.org/officeDocument/2006/relationships/hyperlink" Target="https://doi.org/10.1177/1461444819890353" TargetMode="External"/><Relationship Id="rId29" Type="http://schemas.openxmlformats.org/officeDocument/2006/relationships/hyperlink" Target="https://doi.org/10.1071/SH21110_CO" TargetMode="External"/><Relationship Id="rId11" Type="http://schemas.openxmlformats.org/officeDocument/2006/relationships/hyperlink" Target="https://doi.org/10.5753/jis.2018.693" TargetMode="External"/><Relationship Id="rId10" Type="http://schemas.openxmlformats.org/officeDocument/2006/relationships/hyperlink" Target="https://journals-sol.sbc.org.br/index.php/jis/article/view/693" TargetMode="External"/><Relationship Id="rId13" Type="http://schemas.openxmlformats.org/officeDocument/2006/relationships/hyperlink" Target="https://doi.org/10.1145/3173574.3173824" TargetMode="External"/><Relationship Id="rId12" Type="http://schemas.openxmlformats.org/officeDocument/2006/relationships/hyperlink" Target="https://doi.org/10.1145/3173574.3173824" TargetMode="External"/><Relationship Id="rId15" Type="http://schemas.openxmlformats.org/officeDocument/2006/relationships/hyperlink" Target="https://doi.org/10.1145/3274424" TargetMode="External"/><Relationship Id="rId14" Type="http://schemas.openxmlformats.org/officeDocument/2006/relationships/hyperlink" Target="https://doi.org/10.1145/3274424" TargetMode="External"/><Relationship Id="rId17" Type="http://schemas.openxmlformats.org/officeDocument/2006/relationships/hyperlink" Target="https://doi.org/10.1145/3274332" TargetMode="External"/><Relationship Id="rId16" Type="http://schemas.openxmlformats.org/officeDocument/2006/relationships/hyperlink" Target="https://doi.org/10.1145/3274332" TargetMode="External"/><Relationship Id="rId19" Type="http://schemas.openxmlformats.org/officeDocument/2006/relationships/hyperlink" Target="https://doi.org/10.1177/0163443719846612" TargetMode="External"/><Relationship Id="rId18" Type="http://schemas.openxmlformats.org/officeDocument/2006/relationships/hyperlink" Target="https://doi.org/10.1002/asi.24217" TargetMode="External"/><Relationship Id="rId1" Type="http://schemas.openxmlformats.org/officeDocument/2006/relationships/hyperlink" Target="https://doi.org/10.1145/2675133.2675152" TargetMode="External"/><Relationship Id="rId2" Type="http://schemas.openxmlformats.org/officeDocument/2006/relationships/hyperlink" Target="https://doi.org/10.1145/2675133.2675152" TargetMode="External"/><Relationship Id="rId3" Type="http://schemas.openxmlformats.org/officeDocument/2006/relationships/hyperlink" Target="https://doi.org/10.1145/2702123.2702270" TargetMode="External"/><Relationship Id="rId4" Type="http://schemas.openxmlformats.org/officeDocument/2006/relationships/hyperlink" Target="https://doi.org/10.1145/2702123.2702270" TargetMode="External"/><Relationship Id="rId9" Type="http://schemas.openxmlformats.org/officeDocument/2006/relationships/hyperlink" Target="https://doi.org/10.1080/15538605.2017.1310006" TargetMode="External"/><Relationship Id="rId5" Type="http://schemas.openxmlformats.org/officeDocument/2006/relationships/hyperlink" Target="https://doi.org/10.1145/2858036.2858136" TargetMode="External"/><Relationship Id="rId6" Type="http://schemas.openxmlformats.org/officeDocument/2006/relationships/hyperlink" Target="https://doi.org/10.1145/2858036.2858136" TargetMode="External"/><Relationship Id="rId7" Type="http://schemas.openxmlformats.org/officeDocument/2006/relationships/hyperlink" Target="https://doi.org/10.1016/j.chb.2016.06.009" TargetMode="External"/><Relationship Id="rId8" Type="http://schemas.openxmlformats.org/officeDocument/2006/relationships/hyperlink" Target="https://doi.org/10.1080/0966369X.2017.1396204" TargetMode="External"/><Relationship Id="rId70" Type="http://schemas.openxmlformats.org/officeDocument/2006/relationships/table" Target="../tables/table3.xml"/><Relationship Id="rId62" Type="http://schemas.openxmlformats.org/officeDocument/2006/relationships/hyperlink" Target="https://doi.org/10.2196/72452" TargetMode="External"/><Relationship Id="rId61" Type="http://schemas.openxmlformats.org/officeDocument/2006/relationships/hyperlink" Target="https://pubmed.ncbi.nlm.nih.gov/40700746/" TargetMode="External"/><Relationship Id="rId64" Type="http://schemas.openxmlformats.org/officeDocument/2006/relationships/hyperlink" Target="https://doi.org/10.1177/13678779251322782" TargetMode="External"/><Relationship Id="rId63" Type="http://schemas.openxmlformats.org/officeDocument/2006/relationships/hyperlink" Target="https://doi.org/10.1177/07435584221150223" TargetMode="External"/><Relationship Id="rId66" Type="http://schemas.openxmlformats.org/officeDocument/2006/relationships/hyperlink" Target="https://doi.org/10.1145/3706598.3713136" TargetMode="External"/><Relationship Id="rId65" Type="http://schemas.openxmlformats.org/officeDocument/2006/relationships/hyperlink" Target="https://doi.org/10.1177/14614448251356454" TargetMode="External"/><Relationship Id="rId68" Type="http://schemas.openxmlformats.org/officeDocument/2006/relationships/drawing" Target="../drawings/drawing3.xml"/><Relationship Id="rId67" Type="http://schemas.openxmlformats.org/officeDocument/2006/relationships/hyperlink" Target="https://doi.org/10.1145/3706598.3713136" TargetMode="External"/><Relationship Id="rId60" Type="http://schemas.openxmlformats.org/officeDocument/2006/relationships/hyperlink" Target="https://doi.org/10.1080/14680777.2023.2285710" TargetMode="External"/><Relationship Id="rId51" Type="http://schemas.openxmlformats.org/officeDocument/2006/relationships/hyperlink" Target="https://doi.org/10.1007/s00787-024-02396-9" TargetMode="External"/><Relationship Id="rId50" Type="http://schemas.openxmlformats.org/officeDocument/2006/relationships/hyperlink" Target="https://pubmed.ncbi.nlm.nih.gov/38493430/" TargetMode="External"/><Relationship Id="rId53" Type="http://schemas.openxmlformats.org/officeDocument/2006/relationships/hyperlink" Target="https://doi.org/10.3390/socsci13090483" TargetMode="External"/><Relationship Id="rId52" Type="http://schemas.openxmlformats.org/officeDocument/2006/relationships/hyperlink" Target="https://doi.org/10.1177/20563051241302145" TargetMode="External"/><Relationship Id="rId55" Type="http://schemas.openxmlformats.org/officeDocument/2006/relationships/hyperlink" Target="https://doi.org/10.1080/26895269.2023.2252410" TargetMode="External"/><Relationship Id="rId54" Type="http://schemas.openxmlformats.org/officeDocument/2006/relationships/hyperlink" Target="https://pubmed.ncbi.nlm.nih.gov/38328588/" TargetMode="External"/><Relationship Id="rId57" Type="http://schemas.openxmlformats.org/officeDocument/2006/relationships/hyperlink" Target="https://doi.org/10.1080/14681811.2024.2436998" TargetMode="External"/><Relationship Id="rId56" Type="http://schemas.openxmlformats.org/officeDocument/2006/relationships/hyperlink" Target="https://doi.org/10.1002/casp.2859" TargetMode="External"/><Relationship Id="rId59" Type="http://schemas.openxmlformats.org/officeDocument/2006/relationships/hyperlink" Target="https://doi.org/10.1145/3637431" TargetMode="External"/><Relationship Id="rId58" Type="http://schemas.openxmlformats.org/officeDocument/2006/relationships/hyperlink" Target="https://doi.org/10.1145/3637431"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50.88"/>
    <col customWidth="1" hidden="1" min="3" max="3" width="13.0"/>
    <col customWidth="1" hidden="1" min="4" max="4" width="42.88"/>
    <col customWidth="1" min="5" max="5" width="18.38"/>
    <col customWidth="1" min="6" max="6" width="25.38"/>
    <col customWidth="1" min="7" max="7" width="19.25"/>
    <col customWidth="1" min="8" max="8" width="21.0"/>
    <col customWidth="1" min="9" max="9" width="21.13"/>
    <col customWidth="1" min="10" max="10" width="19.25"/>
    <col customWidth="1" min="11" max="11" width="26.0"/>
    <col customWidth="1" min="14" max="14" width="11.13"/>
  </cols>
  <sheetData>
    <row r="1" ht="22.5" customHeight="1">
      <c r="A1" s="2" t="s">
        <v>1</v>
      </c>
      <c r="B1" s="4" t="s">
        <v>3</v>
      </c>
      <c r="C1" s="2" t="s">
        <v>5</v>
      </c>
      <c r="D1" s="2" t="s">
        <v>6</v>
      </c>
      <c r="E1" s="2" t="s">
        <v>7</v>
      </c>
      <c r="F1" s="2" t="s">
        <v>8</v>
      </c>
      <c r="G1" s="2" t="s">
        <v>9</v>
      </c>
      <c r="H1" s="7" t="s">
        <v>11</v>
      </c>
      <c r="I1" s="7" t="s">
        <v>16</v>
      </c>
      <c r="J1" s="7" t="s">
        <v>19</v>
      </c>
      <c r="K1" s="10" t="s">
        <v>22</v>
      </c>
      <c r="L1" s="2" t="s">
        <v>21</v>
      </c>
      <c r="M1" s="2" t="s">
        <v>23</v>
      </c>
      <c r="N1" s="2" t="s">
        <v>24</v>
      </c>
      <c r="O1" s="2" t="s">
        <v>26</v>
      </c>
      <c r="P1" s="2" t="s">
        <v>27</v>
      </c>
      <c r="Q1" s="2" t="s">
        <v>29</v>
      </c>
      <c r="R1" s="2" t="s">
        <v>30</v>
      </c>
      <c r="S1" s="2" t="s">
        <v>31</v>
      </c>
      <c r="T1" s="2" t="s">
        <v>32</v>
      </c>
      <c r="U1" s="2" t="s">
        <v>33</v>
      </c>
      <c r="V1" s="2" t="s">
        <v>34</v>
      </c>
      <c r="W1" s="2" t="s">
        <v>36</v>
      </c>
      <c r="X1" s="2" t="s">
        <v>38</v>
      </c>
      <c r="Y1" s="2" t="s">
        <v>39</v>
      </c>
      <c r="Z1" s="2" t="s">
        <v>40</v>
      </c>
      <c r="AA1" s="2" t="s">
        <v>41</v>
      </c>
      <c r="AB1" s="5"/>
      <c r="AC1" s="5"/>
      <c r="AD1" s="5"/>
      <c r="AE1" s="5"/>
      <c r="AF1" s="5"/>
    </row>
    <row r="2" ht="22.5" customHeight="1">
      <c r="A2" s="14" t="s">
        <v>42</v>
      </c>
      <c r="B2" s="15" t="s">
        <v>45</v>
      </c>
      <c r="C2" s="21" t="s">
        <v>46</v>
      </c>
      <c r="D2" s="25" t="s">
        <v>55</v>
      </c>
      <c r="E2" s="28" t="s">
        <v>60</v>
      </c>
      <c r="F2" s="27" t="s">
        <v>62</v>
      </c>
      <c r="G2" s="30" t="s">
        <v>63</v>
      </c>
      <c r="H2" s="32" t="s">
        <v>60</v>
      </c>
      <c r="I2" s="36" t="s">
        <v>62</v>
      </c>
      <c r="J2" s="39"/>
      <c r="K2" s="52" t="str">
        <f t="shared" ref="K2:K73" si="1">IF(AND(E2="Accepted",H2="Accepted"),"SIM",IF(AND(E2="Rejected",H2="Rejected",F2=I2),"SIM",IF(AND(E2="Rejected",H2="Rejected",F2&lt;&gt;I2),"CRITÉRIOS DIFERENTES","NÃO")))</f>
        <v>SIM</v>
      </c>
      <c r="L2" s="53">
        <v>2022.0</v>
      </c>
      <c r="M2" s="53">
        <v>5.0</v>
      </c>
      <c r="N2" s="53">
        <v>27.0</v>
      </c>
      <c r="O2" s="56" t="s">
        <v>72</v>
      </c>
      <c r="P2" s="56" t="s">
        <v>73</v>
      </c>
      <c r="Q2" s="53">
        <v>19.0</v>
      </c>
      <c r="R2" s="53">
        <v>11.0</v>
      </c>
      <c r="S2" s="58"/>
      <c r="T2" s="56" t="s">
        <v>76</v>
      </c>
      <c r="U2" s="56" t="s">
        <v>77</v>
      </c>
      <c r="V2" s="58"/>
      <c r="W2" s="59" t="s">
        <v>79</v>
      </c>
      <c r="X2" s="58"/>
      <c r="Y2" s="56" t="s">
        <v>81</v>
      </c>
      <c r="Z2" s="53">
        <v>3.5682144E7</v>
      </c>
      <c r="AA2" s="61" t="s">
        <v>83</v>
      </c>
      <c r="AB2" s="5"/>
      <c r="AC2" s="5"/>
      <c r="AD2" s="5"/>
      <c r="AE2" s="5"/>
      <c r="AF2" s="5"/>
    </row>
    <row r="3" ht="22.5" customHeight="1">
      <c r="A3" s="64" t="s">
        <v>84</v>
      </c>
      <c r="B3" s="65" t="s">
        <v>85</v>
      </c>
      <c r="C3" s="67" t="s">
        <v>86</v>
      </c>
      <c r="D3" s="68" t="s">
        <v>87</v>
      </c>
      <c r="E3" s="69" t="s">
        <v>60</v>
      </c>
      <c r="F3" s="27" t="s">
        <v>62</v>
      </c>
      <c r="G3" s="70"/>
      <c r="H3" s="71" t="s">
        <v>60</v>
      </c>
      <c r="I3" s="72" t="s">
        <v>62</v>
      </c>
      <c r="J3" s="49"/>
      <c r="K3" s="52" t="str">
        <f t="shared" si="1"/>
        <v>SIM</v>
      </c>
      <c r="L3" s="73">
        <v>2023.0</v>
      </c>
      <c r="M3" s="73">
        <v>6.0</v>
      </c>
      <c r="N3" s="73">
        <v>23.0</v>
      </c>
      <c r="O3" s="75" t="s">
        <v>90</v>
      </c>
      <c r="P3" s="75" t="s">
        <v>91</v>
      </c>
      <c r="Q3" s="73">
        <v>25.0</v>
      </c>
      <c r="R3" s="49"/>
      <c r="S3" s="75" t="s">
        <v>92</v>
      </c>
      <c r="T3" s="75" t="s">
        <v>93</v>
      </c>
      <c r="U3" s="75" t="s">
        <v>77</v>
      </c>
      <c r="V3" s="54"/>
      <c r="W3" s="76" t="s">
        <v>94</v>
      </c>
      <c r="X3" s="54"/>
      <c r="Y3" s="75" t="s">
        <v>95</v>
      </c>
      <c r="Z3" s="73">
        <v>3.735192E7</v>
      </c>
      <c r="AA3" s="77" t="s">
        <v>96</v>
      </c>
      <c r="AB3" s="5"/>
      <c r="AC3" s="5"/>
      <c r="AD3" s="5"/>
      <c r="AE3" s="5"/>
      <c r="AF3" s="5"/>
    </row>
    <row r="4" ht="22.5" customHeight="1">
      <c r="A4" s="14" t="s">
        <v>100</v>
      </c>
      <c r="B4" s="80" t="s">
        <v>101</v>
      </c>
      <c r="C4" s="81"/>
      <c r="D4" s="82" t="s">
        <v>102</v>
      </c>
      <c r="E4" s="83" t="s">
        <v>60</v>
      </c>
      <c r="F4" s="27" t="s">
        <v>62</v>
      </c>
      <c r="G4" s="29" t="s">
        <v>103</v>
      </c>
      <c r="H4" s="84" t="s">
        <v>60</v>
      </c>
      <c r="I4" s="85" t="s">
        <v>62</v>
      </c>
      <c r="J4" s="35"/>
      <c r="K4" s="52" t="str">
        <f t="shared" si="1"/>
        <v>SIM</v>
      </c>
      <c r="L4" s="86">
        <v>2020.0</v>
      </c>
      <c r="M4" s="86">
        <v>1.0</v>
      </c>
      <c r="N4" s="87"/>
      <c r="O4" s="88" t="s">
        <v>104</v>
      </c>
      <c r="P4" s="88" t="s">
        <v>105</v>
      </c>
      <c r="Q4" s="86">
        <v>34.0</v>
      </c>
      <c r="R4" s="86">
        <v>1.0</v>
      </c>
      <c r="S4" s="88" t="s">
        <v>106</v>
      </c>
      <c r="T4" s="88" t="s">
        <v>107</v>
      </c>
      <c r="U4" s="81"/>
      <c r="V4" s="81"/>
      <c r="W4" s="89"/>
      <c r="X4" s="81"/>
      <c r="Y4" s="81"/>
      <c r="Z4" s="87"/>
      <c r="AA4" s="90"/>
      <c r="AB4" s="5"/>
      <c r="AC4" s="5"/>
      <c r="AD4" s="5"/>
      <c r="AE4" s="5"/>
      <c r="AF4" s="5"/>
    </row>
    <row r="5" ht="22.5" customHeight="1">
      <c r="A5" s="64" t="s">
        <v>110</v>
      </c>
      <c r="B5" s="101" t="s">
        <v>120</v>
      </c>
      <c r="C5" s="103" t="s">
        <v>121</v>
      </c>
      <c r="D5" s="94" t="s">
        <v>122</v>
      </c>
      <c r="E5" s="95" t="s">
        <v>60</v>
      </c>
      <c r="F5" s="27" t="s">
        <v>62</v>
      </c>
      <c r="G5" s="30"/>
      <c r="H5" s="104" t="s">
        <v>60</v>
      </c>
      <c r="I5" s="105" t="s">
        <v>62</v>
      </c>
      <c r="J5" s="98"/>
      <c r="K5" s="52" t="str">
        <f t="shared" si="1"/>
        <v>SIM</v>
      </c>
      <c r="L5" s="97">
        <v>2018.0</v>
      </c>
      <c r="M5" s="97">
        <v>6.0</v>
      </c>
      <c r="N5" s="98"/>
      <c r="O5" s="99" t="s">
        <v>123</v>
      </c>
      <c r="P5" s="93"/>
      <c r="Q5" s="97">
        <v>9.0</v>
      </c>
      <c r="R5" s="97">
        <v>1.0</v>
      </c>
      <c r="S5" s="93"/>
      <c r="T5" s="99" t="s">
        <v>124</v>
      </c>
      <c r="U5" s="93"/>
      <c r="V5" s="93"/>
      <c r="W5" s="100"/>
      <c r="X5" s="93"/>
      <c r="Y5" s="93"/>
      <c r="Z5" s="98"/>
      <c r="AA5" s="102"/>
      <c r="AB5" s="5"/>
      <c r="AC5" s="5"/>
      <c r="AD5" s="5"/>
      <c r="AE5" s="5"/>
      <c r="AF5" s="5"/>
    </row>
    <row r="6" ht="22.5" customHeight="1">
      <c r="A6" s="14" t="s">
        <v>125</v>
      </c>
      <c r="B6" s="15" t="s">
        <v>133</v>
      </c>
      <c r="C6" s="107" t="s">
        <v>134</v>
      </c>
      <c r="D6" s="22" t="s">
        <v>135</v>
      </c>
      <c r="E6" s="24" t="s">
        <v>60</v>
      </c>
      <c r="F6" s="27" t="s">
        <v>62</v>
      </c>
      <c r="G6" s="29" t="s">
        <v>137</v>
      </c>
      <c r="H6" s="84" t="s">
        <v>60</v>
      </c>
      <c r="I6" s="85" t="s">
        <v>62</v>
      </c>
      <c r="J6" s="35"/>
      <c r="K6" s="52" t="str">
        <f t="shared" si="1"/>
        <v>SIM</v>
      </c>
      <c r="L6" s="31">
        <v>2023.0</v>
      </c>
      <c r="M6" s="31">
        <v>7.0</v>
      </c>
      <c r="N6" s="31">
        <v>3.0</v>
      </c>
      <c r="O6" s="38" t="s">
        <v>139</v>
      </c>
      <c r="P6" s="38" t="s">
        <v>140</v>
      </c>
      <c r="Q6" s="31">
        <v>6.0</v>
      </c>
      <c r="R6" s="31">
        <v>7.0</v>
      </c>
      <c r="S6" s="38" t="s">
        <v>141</v>
      </c>
      <c r="T6" s="38" t="s">
        <v>142</v>
      </c>
      <c r="U6" s="38" t="s">
        <v>77</v>
      </c>
      <c r="V6" s="19"/>
      <c r="W6" s="108" t="s">
        <v>143</v>
      </c>
      <c r="X6" s="19"/>
      <c r="Y6" s="38" t="s">
        <v>144</v>
      </c>
      <c r="Z6" s="31">
        <v>3.7486631E7</v>
      </c>
      <c r="AA6" s="109" t="s">
        <v>145</v>
      </c>
      <c r="AB6" s="5"/>
      <c r="AC6" s="5"/>
      <c r="AD6" s="5"/>
      <c r="AE6" s="5"/>
      <c r="AF6" s="5"/>
    </row>
    <row r="7" ht="22.5" customHeight="1">
      <c r="A7" s="64" t="s">
        <v>136</v>
      </c>
      <c r="B7" s="65" t="s">
        <v>159</v>
      </c>
      <c r="C7" s="113"/>
      <c r="D7" s="114" t="s">
        <v>162</v>
      </c>
      <c r="E7" s="115" t="s">
        <v>60</v>
      </c>
      <c r="F7" s="27" t="s">
        <v>62</v>
      </c>
      <c r="G7" s="66"/>
      <c r="H7" s="71" t="s">
        <v>60</v>
      </c>
      <c r="I7" s="72" t="s">
        <v>62</v>
      </c>
      <c r="J7" s="49"/>
      <c r="K7" s="52" t="str">
        <f t="shared" si="1"/>
        <v>SIM</v>
      </c>
      <c r="L7" s="116">
        <v>2023.0</v>
      </c>
      <c r="M7" s="116">
        <v>1.0</v>
      </c>
      <c r="N7" s="117"/>
      <c r="O7" s="118" t="s">
        <v>164</v>
      </c>
      <c r="P7" s="118" t="s">
        <v>165</v>
      </c>
      <c r="Q7" s="116">
        <v>25.0</v>
      </c>
      <c r="R7" s="116">
        <v>1.0</v>
      </c>
      <c r="S7" s="118" t="s">
        <v>166</v>
      </c>
      <c r="T7" s="118" t="s">
        <v>167</v>
      </c>
      <c r="U7" s="113"/>
      <c r="V7" s="113"/>
      <c r="W7" s="119"/>
      <c r="X7" s="113"/>
      <c r="Y7" s="113"/>
      <c r="Z7" s="117"/>
      <c r="AA7" s="120"/>
      <c r="AB7" s="5"/>
      <c r="AC7" s="5"/>
      <c r="AD7" s="5"/>
      <c r="AE7" s="5"/>
      <c r="AF7" s="5"/>
    </row>
    <row r="8" ht="22.5" customHeight="1">
      <c r="A8" s="14" t="s">
        <v>146</v>
      </c>
      <c r="B8" s="80" t="s">
        <v>176</v>
      </c>
      <c r="C8" s="19"/>
      <c r="D8" s="22" t="s">
        <v>178</v>
      </c>
      <c r="E8" s="24" t="s">
        <v>60</v>
      </c>
      <c r="F8" s="27" t="s">
        <v>62</v>
      </c>
      <c r="G8" s="29"/>
      <c r="H8" s="84" t="s">
        <v>60</v>
      </c>
      <c r="I8" s="85" t="s">
        <v>62</v>
      </c>
      <c r="J8" s="35"/>
      <c r="K8" s="52" t="str">
        <f t="shared" si="1"/>
        <v>SIM</v>
      </c>
      <c r="L8" s="31">
        <v>2025.0</v>
      </c>
      <c r="M8" s="31">
        <v>4.0</v>
      </c>
      <c r="N8" s="35"/>
      <c r="O8" s="38" t="s">
        <v>184</v>
      </c>
      <c r="P8" s="38" t="s">
        <v>185</v>
      </c>
      <c r="Q8" s="31">
        <v>25.0</v>
      </c>
      <c r="R8" s="31">
        <v>3.0</v>
      </c>
      <c r="S8" s="38" t="s">
        <v>186</v>
      </c>
      <c r="T8" s="38" t="s">
        <v>187</v>
      </c>
      <c r="U8" s="19"/>
      <c r="V8" s="19"/>
      <c r="W8" s="46"/>
      <c r="X8" s="19"/>
      <c r="Y8" s="19"/>
      <c r="Z8" s="35"/>
      <c r="AA8" s="50"/>
      <c r="AB8" s="5"/>
      <c r="AC8" s="5"/>
      <c r="AD8" s="5"/>
      <c r="AE8" s="5"/>
      <c r="AF8" s="5"/>
    </row>
    <row r="9" ht="22.5" customHeight="1">
      <c r="A9" s="64" t="s">
        <v>168</v>
      </c>
      <c r="B9" s="101" t="s">
        <v>190</v>
      </c>
      <c r="C9" s="54"/>
      <c r="D9" s="40" t="s">
        <v>191</v>
      </c>
      <c r="E9" s="42" t="s">
        <v>60</v>
      </c>
      <c r="F9" s="27" t="s">
        <v>62</v>
      </c>
      <c r="G9" s="66"/>
      <c r="H9" s="125" t="s">
        <v>60</v>
      </c>
      <c r="I9" s="125" t="s">
        <v>62</v>
      </c>
      <c r="J9" s="49"/>
      <c r="K9" s="52" t="str">
        <f t="shared" si="1"/>
        <v>SIM</v>
      </c>
      <c r="L9" s="47">
        <v>2021.0</v>
      </c>
      <c r="M9" s="47">
        <v>1.0</v>
      </c>
      <c r="N9" s="49"/>
      <c r="O9" s="57" t="s">
        <v>192</v>
      </c>
      <c r="P9" s="57" t="s">
        <v>193</v>
      </c>
      <c r="Q9" s="47">
        <v>7.0</v>
      </c>
      <c r="R9" s="47">
        <v>1.0</v>
      </c>
      <c r="S9" s="54"/>
      <c r="T9" s="57" t="s">
        <v>194</v>
      </c>
      <c r="U9" s="54"/>
      <c r="V9" s="54"/>
      <c r="W9" s="106"/>
      <c r="X9" s="54"/>
      <c r="Y9" s="54"/>
      <c r="Z9" s="49"/>
      <c r="AA9" s="62"/>
      <c r="AB9" s="5"/>
      <c r="AC9" s="5"/>
      <c r="AD9" s="5"/>
      <c r="AE9" s="5"/>
      <c r="AF9" s="5"/>
    </row>
    <row r="10" ht="22.5" customHeight="1">
      <c r="A10" s="14" t="s">
        <v>188</v>
      </c>
      <c r="B10" s="65" t="s">
        <v>201</v>
      </c>
      <c r="C10" s="93"/>
      <c r="D10" s="111" t="s">
        <v>202</v>
      </c>
      <c r="E10" s="112" t="s">
        <v>60</v>
      </c>
      <c r="F10" s="27" t="s">
        <v>62</v>
      </c>
      <c r="G10" s="121"/>
      <c r="H10" s="104" t="s">
        <v>60</v>
      </c>
      <c r="I10" s="105" t="s">
        <v>62</v>
      </c>
      <c r="J10" s="98"/>
      <c r="K10" s="52" t="str">
        <f t="shared" si="1"/>
        <v>SIM</v>
      </c>
      <c r="L10" s="97">
        <v>2020.0</v>
      </c>
      <c r="M10" s="97">
        <v>1.0</v>
      </c>
      <c r="N10" s="98"/>
      <c r="O10" s="99" t="s">
        <v>192</v>
      </c>
      <c r="P10" s="99" t="s">
        <v>193</v>
      </c>
      <c r="Q10" s="97">
        <v>6.0</v>
      </c>
      <c r="R10" s="97">
        <v>1.0</v>
      </c>
      <c r="S10" s="93"/>
      <c r="T10" s="99" t="s">
        <v>203</v>
      </c>
      <c r="U10" s="93"/>
      <c r="V10" s="93"/>
      <c r="W10" s="100"/>
      <c r="X10" s="93"/>
      <c r="Y10" s="93"/>
      <c r="Z10" s="98"/>
      <c r="AA10" s="102"/>
      <c r="AB10" s="5"/>
      <c r="AC10" s="5"/>
      <c r="AD10" s="5"/>
      <c r="AE10" s="5"/>
      <c r="AF10" s="5"/>
    </row>
    <row r="11" ht="22.5" customHeight="1">
      <c r="A11" s="64" t="s">
        <v>196</v>
      </c>
      <c r="B11" s="80" t="s">
        <v>210</v>
      </c>
      <c r="C11" s="19"/>
      <c r="D11" s="22" t="s">
        <v>211</v>
      </c>
      <c r="E11" s="24" t="s">
        <v>60</v>
      </c>
      <c r="F11" s="27" t="s">
        <v>62</v>
      </c>
      <c r="G11" s="29" t="s">
        <v>212</v>
      </c>
      <c r="H11" s="84" t="s">
        <v>60</v>
      </c>
      <c r="I11" s="85" t="s">
        <v>62</v>
      </c>
      <c r="J11" s="35"/>
      <c r="K11" s="52" t="str">
        <f t="shared" si="1"/>
        <v>SIM</v>
      </c>
      <c r="L11" s="31">
        <v>2021.0</v>
      </c>
      <c r="M11" s="31">
        <v>1.0</v>
      </c>
      <c r="N11" s="35"/>
      <c r="O11" s="38" t="s">
        <v>66</v>
      </c>
      <c r="P11" s="38" t="s">
        <v>67</v>
      </c>
      <c r="Q11" s="31">
        <v>23.0</v>
      </c>
      <c r="R11" s="31">
        <v>1.0</v>
      </c>
      <c r="S11" s="38" t="s">
        <v>216</v>
      </c>
      <c r="T11" s="38" t="s">
        <v>217</v>
      </c>
      <c r="U11" s="19"/>
      <c r="V11" s="19"/>
      <c r="W11" s="46"/>
      <c r="X11" s="19"/>
      <c r="Y11" s="19"/>
      <c r="Z11" s="35"/>
      <c r="AA11" s="50"/>
      <c r="AB11" s="122"/>
      <c r="AC11" s="122"/>
      <c r="AD11" s="122"/>
      <c r="AE11" s="122"/>
      <c r="AF11" s="122"/>
      <c r="AG11" s="123"/>
    </row>
    <row r="12" ht="22.5" customHeight="1">
      <c r="A12" s="14" t="s">
        <v>204</v>
      </c>
      <c r="B12" s="133" t="s">
        <v>227</v>
      </c>
      <c r="C12" s="103" t="s">
        <v>228</v>
      </c>
      <c r="D12" s="111" t="s">
        <v>230</v>
      </c>
      <c r="E12" s="112" t="s">
        <v>60</v>
      </c>
      <c r="F12" s="27" t="s">
        <v>62</v>
      </c>
      <c r="G12" s="66" t="s">
        <v>231</v>
      </c>
      <c r="H12" s="104" t="s">
        <v>60</v>
      </c>
      <c r="I12" s="105" t="s">
        <v>62</v>
      </c>
      <c r="J12" s="98"/>
      <c r="K12" s="52" t="str">
        <f t="shared" si="1"/>
        <v>SIM</v>
      </c>
      <c r="L12" s="97">
        <v>2021.0</v>
      </c>
      <c r="M12" s="97">
        <v>11.0</v>
      </c>
      <c r="N12" s="98"/>
      <c r="O12" s="99" t="s">
        <v>233</v>
      </c>
      <c r="P12" s="99" t="s">
        <v>234</v>
      </c>
      <c r="Q12" s="97">
        <v>18.0</v>
      </c>
      <c r="R12" s="97">
        <v>5.0</v>
      </c>
      <c r="S12" s="134">
        <v>444.0</v>
      </c>
      <c r="T12" s="99" t="s">
        <v>235</v>
      </c>
      <c r="U12" s="99" t="s">
        <v>77</v>
      </c>
      <c r="V12" s="93"/>
      <c r="W12" s="135" t="s">
        <v>236</v>
      </c>
      <c r="X12" s="93"/>
      <c r="Y12" s="93"/>
      <c r="Z12" s="97">
        <v>3.4823648E7</v>
      </c>
      <c r="AA12" s="102"/>
      <c r="AB12" s="5"/>
      <c r="AC12" s="5"/>
      <c r="AD12" s="5"/>
      <c r="AE12" s="5"/>
      <c r="AF12" s="5"/>
    </row>
    <row r="13" ht="22.5" customHeight="1">
      <c r="A13" s="64" t="s">
        <v>213</v>
      </c>
      <c r="B13" s="128" t="s">
        <v>244</v>
      </c>
      <c r="C13" s="33" t="s">
        <v>245</v>
      </c>
      <c r="D13" s="40" t="s">
        <v>246</v>
      </c>
      <c r="E13" s="42" t="s">
        <v>60</v>
      </c>
      <c r="F13" s="27" t="s">
        <v>62</v>
      </c>
      <c r="G13" s="66"/>
      <c r="H13" s="71" t="s">
        <v>60</v>
      </c>
      <c r="I13" s="72" t="s">
        <v>62</v>
      </c>
      <c r="J13" s="49"/>
      <c r="K13" s="52" t="str">
        <f t="shared" si="1"/>
        <v>SIM</v>
      </c>
      <c r="L13" s="47">
        <v>2025.0</v>
      </c>
      <c r="M13" s="47">
        <v>7.0</v>
      </c>
      <c r="N13" s="47">
        <v>23.0</v>
      </c>
      <c r="O13" s="57" t="s">
        <v>90</v>
      </c>
      <c r="P13" s="57" t="s">
        <v>91</v>
      </c>
      <c r="Q13" s="47">
        <v>27.0</v>
      </c>
      <c r="R13" s="49"/>
      <c r="S13" s="57" t="s">
        <v>247</v>
      </c>
      <c r="T13" s="57" t="s">
        <v>248</v>
      </c>
      <c r="U13" s="57" t="s">
        <v>77</v>
      </c>
      <c r="V13" s="54"/>
      <c r="W13" s="137" t="s">
        <v>94</v>
      </c>
      <c r="X13" s="54"/>
      <c r="Y13" s="57" t="s">
        <v>249</v>
      </c>
      <c r="Z13" s="47">
        <v>4.0700746E7</v>
      </c>
      <c r="AA13" s="130" t="s">
        <v>250</v>
      </c>
      <c r="AB13" s="5"/>
      <c r="AC13" s="5"/>
      <c r="AD13" s="5"/>
      <c r="AE13" s="5"/>
      <c r="AF13" s="5"/>
    </row>
    <row r="14" ht="22.5" customHeight="1">
      <c r="A14" s="14" t="s">
        <v>229</v>
      </c>
      <c r="B14" s="126" t="s">
        <v>108</v>
      </c>
      <c r="C14" s="21" t="s">
        <v>109</v>
      </c>
      <c r="D14" s="25" t="s">
        <v>109</v>
      </c>
      <c r="E14" s="28" t="s">
        <v>60</v>
      </c>
      <c r="F14" s="27" t="s">
        <v>62</v>
      </c>
      <c r="G14" s="30"/>
      <c r="H14" s="32" t="s">
        <v>60</v>
      </c>
      <c r="I14" s="36" t="s">
        <v>62</v>
      </c>
      <c r="J14" s="39"/>
      <c r="K14" s="52" t="str">
        <f t="shared" si="1"/>
        <v>SIM</v>
      </c>
      <c r="L14" s="53">
        <v>2016.0</v>
      </c>
      <c r="M14" s="39"/>
      <c r="N14" s="39"/>
      <c r="O14" s="58"/>
      <c r="P14" s="58"/>
      <c r="Q14" s="39"/>
      <c r="R14" s="39"/>
      <c r="S14" s="56" t="s">
        <v>113</v>
      </c>
      <c r="T14" s="56" t="s">
        <v>75</v>
      </c>
      <c r="U14" s="58"/>
      <c r="V14" s="56" t="s">
        <v>78</v>
      </c>
      <c r="W14" s="78" t="s">
        <v>80</v>
      </c>
      <c r="X14" s="58"/>
      <c r="Y14" s="56" t="s">
        <v>114</v>
      </c>
      <c r="Z14" s="39"/>
      <c r="AA14" s="79"/>
      <c r="AB14" s="5"/>
      <c r="AC14" s="5"/>
      <c r="AD14" s="5"/>
      <c r="AE14" s="5"/>
      <c r="AF14" s="5"/>
    </row>
    <row r="15" ht="22.5" customHeight="1">
      <c r="A15" s="64" t="s">
        <v>241</v>
      </c>
      <c r="B15" s="136" t="s">
        <v>50</v>
      </c>
      <c r="C15" s="107" t="s">
        <v>54</v>
      </c>
      <c r="D15" s="22" t="s">
        <v>54</v>
      </c>
      <c r="E15" s="24" t="s">
        <v>60</v>
      </c>
      <c r="F15" s="27" t="s">
        <v>62</v>
      </c>
      <c r="G15" s="29"/>
      <c r="H15" s="84" t="s">
        <v>60</v>
      </c>
      <c r="I15" s="85" t="s">
        <v>62</v>
      </c>
      <c r="J15" s="35"/>
      <c r="K15" s="52" t="str">
        <f t="shared" si="1"/>
        <v>SIM</v>
      </c>
      <c r="L15" s="31">
        <v>2015.0</v>
      </c>
      <c r="M15" s="35"/>
      <c r="N15" s="35"/>
      <c r="O15" s="19"/>
      <c r="P15" s="19"/>
      <c r="Q15" s="35"/>
      <c r="R15" s="35"/>
      <c r="S15" s="38" t="s">
        <v>74</v>
      </c>
      <c r="T15" s="38" t="s">
        <v>75</v>
      </c>
      <c r="U15" s="19"/>
      <c r="V15" s="38" t="s">
        <v>78</v>
      </c>
      <c r="W15" s="127" t="s">
        <v>80</v>
      </c>
      <c r="X15" s="19"/>
      <c r="Y15" s="38" t="s">
        <v>82</v>
      </c>
      <c r="Z15" s="35"/>
      <c r="AA15" s="50"/>
      <c r="AB15" s="122"/>
      <c r="AC15" s="122"/>
      <c r="AD15" s="122"/>
      <c r="AE15" s="122"/>
      <c r="AF15" s="122"/>
      <c r="AG15" s="123"/>
    </row>
    <row r="16" ht="22.5" customHeight="1">
      <c r="A16" s="14" t="s">
        <v>255</v>
      </c>
      <c r="B16" s="118" t="s">
        <v>271</v>
      </c>
      <c r="C16" s="54"/>
      <c r="D16" s="40" t="s">
        <v>273</v>
      </c>
      <c r="E16" s="42" t="s">
        <v>60</v>
      </c>
      <c r="F16" s="27" t="s">
        <v>62</v>
      </c>
      <c r="G16" s="66"/>
      <c r="H16" s="71" t="s">
        <v>60</v>
      </c>
      <c r="I16" s="72" t="s">
        <v>62</v>
      </c>
      <c r="J16" s="49"/>
      <c r="K16" s="52" t="str">
        <f t="shared" si="1"/>
        <v>SIM</v>
      </c>
      <c r="L16" s="47">
        <v>2025.0</v>
      </c>
      <c r="M16" s="47">
        <v>3.0</v>
      </c>
      <c r="N16" s="49"/>
      <c r="O16" s="57" t="s">
        <v>278</v>
      </c>
      <c r="P16" s="57" t="s">
        <v>280</v>
      </c>
      <c r="Q16" s="47">
        <v>40.0</v>
      </c>
      <c r="R16" s="47">
        <v>2.0</v>
      </c>
      <c r="S16" s="57" t="s">
        <v>281</v>
      </c>
      <c r="T16" s="57" t="s">
        <v>282</v>
      </c>
      <c r="U16" s="54"/>
      <c r="V16" s="54"/>
      <c r="W16" s="106"/>
      <c r="X16" s="54"/>
      <c r="Y16" s="54"/>
      <c r="Z16" s="49"/>
      <c r="AA16" s="62"/>
      <c r="AB16" s="5"/>
      <c r="AC16" s="5"/>
      <c r="AD16" s="5"/>
      <c r="AE16" s="5"/>
      <c r="AF16" s="5"/>
    </row>
    <row r="17" ht="22.5" customHeight="1">
      <c r="A17" s="64" t="s">
        <v>258</v>
      </c>
      <c r="B17" s="144" t="s">
        <v>286</v>
      </c>
      <c r="C17" s="21" t="s">
        <v>288</v>
      </c>
      <c r="D17" s="25" t="s">
        <v>288</v>
      </c>
      <c r="E17" s="28" t="s">
        <v>60</v>
      </c>
      <c r="F17" s="27" t="s">
        <v>62</v>
      </c>
      <c r="G17" s="30"/>
      <c r="H17" s="32" t="s">
        <v>60</v>
      </c>
      <c r="I17" s="36" t="s">
        <v>62</v>
      </c>
      <c r="J17" s="39"/>
      <c r="K17" s="52" t="str">
        <f t="shared" si="1"/>
        <v>SIM</v>
      </c>
      <c r="L17" s="53">
        <v>2021.0</v>
      </c>
      <c r="M17" s="53">
        <v>1.0</v>
      </c>
      <c r="N17" s="39"/>
      <c r="O17" s="56" t="s">
        <v>207</v>
      </c>
      <c r="P17" s="58"/>
      <c r="Q17" s="53">
        <v>4.0</v>
      </c>
      <c r="R17" s="39"/>
      <c r="S17" s="58"/>
      <c r="T17" s="56" t="s">
        <v>290</v>
      </c>
      <c r="U17" s="58"/>
      <c r="V17" s="56" t="s">
        <v>78</v>
      </c>
      <c r="W17" s="78" t="s">
        <v>80</v>
      </c>
      <c r="X17" s="58"/>
      <c r="Y17" s="56" t="s">
        <v>292</v>
      </c>
      <c r="Z17" s="39"/>
      <c r="AA17" s="79"/>
      <c r="AB17" s="5"/>
      <c r="AC17" s="5"/>
      <c r="AD17" s="5"/>
      <c r="AE17" s="5"/>
      <c r="AF17" s="5"/>
    </row>
    <row r="18" ht="22.5" customHeight="1">
      <c r="A18" s="14" t="s">
        <v>266</v>
      </c>
      <c r="B18" s="136" t="s">
        <v>214</v>
      </c>
      <c r="C18" s="107" t="s">
        <v>215</v>
      </c>
      <c r="D18" s="22" t="s">
        <v>218</v>
      </c>
      <c r="E18" s="24" t="s">
        <v>60</v>
      </c>
      <c r="F18" s="27" t="s">
        <v>62</v>
      </c>
      <c r="G18" s="29"/>
      <c r="H18" s="84" t="s">
        <v>60</v>
      </c>
      <c r="I18" s="85" t="s">
        <v>62</v>
      </c>
      <c r="J18" s="35"/>
      <c r="K18" s="52" t="str">
        <f t="shared" si="1"/>
        <v>SIM</v>
      </c>
      <c r="L18" s="31">
        <v>2018.0</v>
      </c>
      <c r="M18" s="31">
        <v>5.0</v>
      </c>
      <c r="N18" s="31">
        <v>26.0</v>
      </c>
      <c r="O18" s="38" t="s">
        <v>72</v>
      </c>
      <c r="P18" s="38" t="s">
        <v>73</v>
      </c>
      <c r="Q18" s="31">
        <v>15.0</v>
      </c>
      <c r="R18" s="31">
        <v>6.0</v>
      </c>
      <c r="S18" s="19"/>
      <c r="T18" s="38" t="s">
        <v>220</v>
      </c>
      <c r="U18" s="38" t="s">
        <v>77</v>
      </c>
      <c r="V18" s="19"/>
      <c r="W18" s="145" t="s">
        <v>79</v>
      </c>
      <c r="X18" s="19"/>
      <c r="Y18" s="38" t="s">
        <v>221</v>
      </c>
      <c r="Z18" s="31">
        <v>2.9861439E7</v>
      </c>
      <c r="AA18" s="109" t="s">
        <v>222</v>
      </c>
      <c r="AB18" s="122"/>
      <c r="AC18" s="122"/>
      <c r="AD18" s="122"/>
      <c r="AE18" s="122"/>
      <c r="AF18" s="122"/>
      <c r="AG18" s="123"/>
    </row>
    <row r="19" ht="22.5" customHeight="1">
      <c r="A19" s="64" t="s">
        <v>283</v>
      </c>
      <c r="B19" s="126" t="s">
        <v>310</v>
      </c>
      <c r="C19" s="21" t="s">
        <v>311</v>
      </c>
      <c r="D19" s="25" t="s">
        <v>312</v>
      </c>
      <c r="E19" s="28" t="s">
        <v>60</v>
      </c>
      <c r="F19" s="27" t="s">
        <v>62</v>
      </c>
      <c r="G19" s="30"/>
      <c r="H19" s="32" t="s">
        <v>60</v>
      </c>
      <c r="I19" s="36" t="s">
        <v>62</v>
      </c>
      <c r="J19" s="39"/>
      <c r="K19" s="52" t="str">
        <f t="shared" si="1"/>
        <v>SIM</v>
      </c>
      <c r="L19" s="53">
        <v>2022.0</v>
      </c>
      <c r="M19" s="39"/>
      <c r="N19" s="39"/>
      <c r="O19" s="56" t="s">
        <v>313</v>
      </c>
      <c r="P19" s="56" t="s">
        <v>314</v>
      </c>
      <c r="Q19" s="53">
        <v>4.0</v>
      </c>
      <c r="R19" s="39"/>
      <c r="S19" s="147">
        <v>900695.0</v>
      </c>
      <c r="T19" s="56" t="s">
        <v>315</v>
      </c>
      <c r="U19" s="56" t="s">
        <v>77</v>
      </c>
      <c r="V19" s="58"/>
      <c r="W19" s="59" t="s">
        <v>79</v>
      </c>
      <c r="X19" s="58"/>
      <c r="Y19" s="58"/>
      <c r="Z19" s="53">
        <v>3.5832658E7</v>
      </c>
      <c r="AA19" s="61" t="s">
        <v>316</v>
      </c>
      <c r="AB19" s="5"/>
      <c r="AC19" s="5"/>
      <c r="AD19" s="5"/>
      <c r="AE19" s="5"/>
      <c r="AF19" s="5"/>
    </row>
    <row r="20" ht="22.5" customHeight="1">
      <c r="A20" s="14" t="s">
        <v>293</v>
      </c>
      <c r="B20" s="88" t="s">
        <v>319</v>
      </c>
      <c r="C20" s="107" t="s">
        <v>320</v>
      </c>
      <c r="D20" s="22" t="s">
        <v>320</v>
      </c>
      <c r="E20" s="24" t="s">
        <v>60</v>
      </c>
      <c r="F20" s="27" t="s">
        <v>62</v>
      </c>
      <c r="G20" s="30" t="s">
        <v>321</v>
      </c>
      <c r="H20" s="84" t="s">
        <v>60</v>
      </c>
      <c r="I20" s="85" t="s">
        <v>62</v>
      </c>
      <c r="J20" s="35"/>
      <c r="K20" s="52" t="str">
        <f t="shared" si="1"/>
        <v>SIM</v>
      </c>
      <c r="L20" s="31">
        <v>2021.0</v>
      </c>
      <c r="M20" s="31">
        <v>5.0</v>
      </c>
      <c r="N20" s="35"/>
      <c r="O20" s="38" t="s">
        <v>322</v>
      </c>
      <c r="P20" s="38" t="s">
        <v>323</v>
      </c>
      <c r="Q20" s="31">
        <v>23.0</v>
      </c>
      <c r="R20" s="31">
        <v>1.0</v>
      </c>
      <c r="S20" s="38" t="s">
        <v>324</v>
      </c>
      <c r="T20" s="38" t="s">
        <v>325</v>
      </c>
      <c r="U20" s="19"/>
      <c r="V20" s="38" t="s">
        <v>78</v>
      </c>
      <c r="W20" s="127" t="s">
        <v>80</v>
      </c>
      <c r="X20" s="19"/>
      <c r="Y20" s="38" t="s">
        <v>326</v>
      </c>
      <c r="Z20" s="35"/>
      <c r="AA20" s="50"/>
      <c r="AB20" s="5"/>
      <c r="AC20" s="5"/>
      <c r="AD20" s="5"/>
      <c r="AE20" s="5"/>
      <c r="AF20" s="5"/>
    </row>
    <row r="21" ht="22.5" customHeight="1">
      <c r="A21" s="64" t="s">
        <v>301</v>
      </c>
      <c r="B21" s="133" t="s">
        <v>259</v>
      </c>
      <c r="C21" s="149" t="s">
        <v>260</v>
      </c>
      <c r="D21" s="150"/>
      <c r="E21" s="151" t="s">
        <v>60</v>
      </c>
      <c r="F21" s="27" t="s">
        <v>62</v>
      </c>
      <c r="G21" s="66"/>
      <c r="H21" s="104" t="s">
        <v>60</v>
      </c>
      <c r="I21" s="105" t="s">
        <v>62</v>
      </c>
      <c r="J21" s="98"/>
      <c r="K21" s="52" t="str">
        <f t="shared" si="1"/>
        <v>SIM</v>
      </c>
      <c r="L21" s="97">
        <v>2019.0</v>
      </c>
      <c r="M21" s="98"/>
      <c r="N21" s="98"/>
      <c r="O21" s="99" t="s">
        <v>262</v>
      </c>
      <c r="P21" s="99" t="s">
        <v>263</v>
      </c>
      <c r="Q21" s="97">
        <v>13.0</v>
      </c>
      <c r="R21" s="98"/>
      <c r="S21" s="99" t="s">
        <v>264</v>
      </c>
      <c r="T21" s="99" t="s">
        <v>265</v>
      </c>
      <c r="U21" s="93"/>
      <c r="V21" s="93"/>
      <c r="W21" s="100"/>
      <c r="X21" s="93"/>
      <c r="Y21" s="93"/>
      <c r="Z21" s="98"/>
      <c r="AA21" s="102"/>
      <c r="AB21" s="5"/>
      <c r="AC21" s="5"/>
      <c r="AD21" s="5"/>
      <c r="AE21" s="5"/>
      <c r="AF21" s="5"/>
    </row>
    <row r="22" ht="22.5" customHeight="1">
      <c r="A22" s="14" t="s">
        <v>309</v>
      </c>
      <c r="B22" s="88" t="s">
        <v>342</v>
      </c>
      <c r="C22" s="19"/>
      <c r="D22" s="22" t="s">
        <v>343</v>
      </c>
      <c r="E22" s="24" t="s">
        <v>60</v>
      </c>
      <c r="F22" s="27" t="s">
        <v>62</v>
      </c>
      <c r="G22" s="30"/>
      <c r="H22" s="84" t="s">
        <v>60</v>
      </c>
      <c r="I22" s="85" t="s">
        <v>62</v>
      </c>
      <c r="J22" s="35"/>
      <c r="K22" s="52" t="str">
        <f t="shared" si="1"/>
        <v>SIM</v>
      </c>
      <c r="L22" s="31">
        <v>2021.0</v>
      </c>
      <c r="M22" s="31">
        <v>4.0</v>
      </c>
      <c r="N22" s="35"/>
      <c r="O22" s="38" t="s">
        <v>253</v>
      </c>
      <c r="P22" s="38" t="s">
        <v>254</v>
      </c>
      <c r="Q22" s="31">
        <v>43.0</v>
      </c>
      <c r="R22" s="31">
        <v>3.0</v>
      </c>
      <c r="S22" s="38" t="s">
        <v>347</v>
      </c>
      <c r="T22" s="38" t="s">
        <v>348</v>
      </c>
      <c r="U22" s="19"/>
      <c r="V22" s="19"/>
      <c r="W22" s="46"/>
      <c r="X22" s="19"/>
      <c r="Y22" s="19"/>
      <c r="Z22" s="35"/>
      <c r="AA22" s="50"/>
      <c r="AB22" s="5"/>
      <c r="AC22" s="5"/>
      <c r="AD22" s="5"/>
      <c r="AE22" s="5"/>
      <c r="AF22" s="5"/>
    </row>
    <row r="23" ht="22.5" customHeight="1">
      <c r="A23" s="64" t="s">
        <v>317</v>
      </c>
      <c r="B23" s="133" t="s">
        <v>350</v>
      </c>
      <c r="C23" s="103" t="s">
        <v>351</v>
      </c>
      <c r="D23" s="111" t="s">
        <v>352</v>
      </c>
      <c r="E23" s="112" t="s">
        <v>60</v>
      </c>
      <c r="F23" s="27" t="s">
        <v>62</v>
      </c>
      <c r="G23" s="30"/>
      <c r="H23" s="104" t="s">
        <v>60</v>
      </c>
      <c r="I23" s="105" t="s">
        <v>62</v>
      </c>
      <c r="J23" s="98"/>
      <c r="K23" s="52" t="str">
        <f t="shared" si="1"/>
        <v>SIM</v>
      </c>
      <c r="L23" s="97">
        <v>2024.0</v>
      </c>
      <c r="M23" s="97">
        <v>10.0</v>
      </c>
      <c r="N23" s="98"/>
      <c r="O23" s="99" t="s">
        <v>353</v>
      </c>
      <c r="P23" s="99" t="s">
        <v>354</v>
      </c>
      <c r="Q23" s="97">
        <v>33.0</v>
      </c>
      <c r="R23" s="97">
        <v>10.0</v>
      </c>
      <c r="S23" s="99" t="s">
        <v>355</v>
      </c>
      <c r="T23" s="99" t="s">
        <v>356</v>
      </c>
      <c r="U23" s="99" t="s">
        <v>77</v>
      </c>
      <c r="V23" s="93"/>
      <c r="W23" s="152" t="s">
        <v>357</v>
      </c>
      <c r="X23" s="93"/>
      <c r="Y23" s="99" t="s">
        <v>358</v>
      </c>
      <c r="Z23" s="97">
        <v>3.849343E7</v>
      </c>
      <c r="AA23" s="143" t="s">
        <v>359</v>
      </c>
      <c r="AB23" s="5"/>
      <c r="AC23" s="5"/>
      <c r="AD23" s="5"/>
      <c r="AE23" s="5"/>
      <c r="AF23" s="5"/>
    </row>
    <row r="24" ht="22.5" customHeight="1">
      <c r="A24" s="14" t="s">
        <v>327</v>
      </c>
      <c r="B24" s="136" t="s">
        <v>360</v>
      </c>
      <c r="C24" s="19"/>
      <c r="D24" s="22" t="s">
        <v>361</v>
      </c>
      <c r="E24" s="24" t="s">
        <v>60</v>
      </c>
      <c r="F24" s="27" t="s">
        <v>62</v>
      </c>
      <c r="G24" s="29"/>
      <c r="H24" s="84" t="s">
        <v>60</v>
      </c>
      <c r="I24" s="85" t="s">
        <v>62</v>
      </c>
      <c r="J24" s="35"/>
      <c r="K24" s="52" t="str">
        <f t="shared" si="1"/>
        <v>SIM</v>
      </c>
      <c r="L24" s="31">
        <v>2025.0</v>
      </c>
      <c r="M24" s="31">
        <v>7.0</v>
      </c>
      <c r="N24" s="35"/>
      <c r="O24" s="38" t="s">
        <v>365</v>
      </c>
      <c r="P24" s="38" t="s">
        <v>366</v>
      </c>
      <c r="Q24" s="31">
        <v>28.0</v>
      </c>
      <c r="R24" s="31">
        <v>4.0</v>
      </c>
      <c r="S24" s="38" t="s">
        <v>367</v>
      </c>
      <c r="T24" s="38" t="s">
        <v>368</v>
      </c>
      <c r="U24" s="19"/>
      <c r="V24" s="19"/>
      <c r="W24" s="46"/>
      <c r="X24" s="19"/>
      <c r="Y24" s="19"/>
      <c r="Z24" s="35"/>
      <c r="AA24" s="50"/>
      <c r="AB24" s="5"/>
      <c r="AC24" s="5"/>
      <c r="AD24" s="5"/>
      <c r="AE24" s="5"/>
      <c r="AF24" s="5"/>
    </row>
    <row r="25" ht="22.5" customHeight="1">
      <c r="A25" s="64" t="s">
        <v>338</v>
      </c>
      <c r="B25" s="133" t="s">
        <v>362</v>
      </c>
      <c r="C25" s="93"/>
      <c r="D25" s="111" t="s">
        <v>364</v>
      </c>
      <c r="E25" s="112" t="s">
        <v>60</v>
      </c>
      <c r="F25" s="27" t="s">
        <v>62</v>
      </c>
      <c r="G25" s="121" t="s">
        <v>371</v>
      </c>
      <c r="H25" s="104" t="s">
        <v>60</v>
      </c>
      <c r="I25" s="105" t="s">
        <v>62</v>
      </c>
      <c r="J25" s="98"/>
      <c r="K25" s="52" t="str">
        <f t="shared" si="1"/>
        <v>SIM</v>
      </c>
      <c r="L25" s="97">
        <v>2021.0</v>
      </c>
      <c r="M25" s="97">
        <v>5.0</v>
      </c>
      <c r="N25" s="98"/>
      <c r="O25" s="99" t="s">
        <v>365</v>
      </c>
      <c r="P25" s="99" t="s">
        <v>366</v>
      </c>
      <c r="Q25" s="97">
        <v>24.0</v>
      </c>
      <c r="R25" s="97">
        <v>3.0</v>
      </c>
      <c r="S25" s="99" t="s">
        <v>369</v>
      </c>
      <c r="T25" s="99" t="s">
        <v>370</v>
      </c>
      <c r="U25" s="93"/>
      <c r="V25" s="93"/>
      <c r="W25" s="100"/>
      <c r="X25" s="93"/>
      <c r="Y25" s="93"/>
      <c r="Z25" s="98"/>
      <c r="AA25" s="102"/>
      <c r="AB25" s="5"/>
      <c r="AC25" s="5"/>
      <c r="AD25" s="5"/>
      <c r="AE25" s="5"/>
      <c r="AF25" s="5"/>
    </row>
    <row r="26" ht="22.5" customHeight="1">
      <c r="A26" s="14" t="s">
        <v>349</v>
      </c>
      <c r="B26" s="136" t="s">
        <v>147</v>
      </c>
      <c r="C26" s="107" t="s">
        <v>149</v>
      </c>
      <c r="D26" s="22" t="s">
        <v>151</v>
      </c>
      <c r="E26" s="24" t="s">
        <v>60</v>
      </c>
      <c r="F26" s="27" t="s">
        <v>62</v>
      </c>
      <c r="G26" s="30" t="s">
        <v>383</v>
      </c>
      <c r="H26" s="84" t="s">
        <v>60</v>
      </c>
      <c r="I26" s="85" t="s">
        <v>62</v>
      </c>
      <c r="J26" s="35"/>
      <c r="K26" s="52" t="str">
        <f t="shared" si="1"/>
        <v>SIM</v>
      </c>
      <c r="L26" s="31">
        <v>2017.0</v>
      </c>
      <c r="M26" s="31">
        <v>11.0</v>
      </c>
      <c r="N26" s="35"/>
      <c r="O26" s="38" t="s">
        <v>155</v>
      </c>
      <c r="P26" s="38" t="s">
        <v>157</v>
      </c>
      <c r="Q26" s="31">
        <v>76.0</v>
      </c>
      <c r="R26" s="35"/>
      <c r="S26" s="38" t="s">
        <v>160</v>
      </c>
      <c r="T26" s="38" t="s">
        <v>161</v>
      </c>
      <c r="U26" s="38" t="s">
        <v>77</v>
      </c>
      <c r="V26" s="19"/>
      <c r="W26" s="108" t="s">
        <v>143</v>
      </c>
      <c r="X26" s="19"/>
      <c r="Y26" s="19"/>
      <c r="Z26" s="31">
        <v>2.9225412E7</v>
      </c>
      <c r="AA26" s="109" t="s">
        <v>163</v>
      </c>
      <c r="AB26" s="5"/>
      <c r="AC26" s="5"/>
      <c r="AD26" s="5"/>
      <c r="AE26" s="5"/>
      <c r="AF26" s="5"/>
    </row>
    <row r="27" ht="22.5" customHeight="1">
      <c r="A27" s="64" t="s">
        <v>363</v>
      </c>
      <c r="B27" s="126" t="s">
        <v>268</v>
      </c>
      <c r="C27" s="21" t="s">
        <v>269</v>
      </c>
      <c r="D27" s="25" t="s">
        <v>270</v>
      </c>
      <c r="E27" s="28" t="s">
        <v>60</v>
      </c>
      <c r="F27" s="27" t="s">
        <v>62</v>
      </c>
      <c r="G27" s="30" t="s">
        <v>390</v>
      </c>
      <c r="H27" s="153" t="s">
        <v>60</v>
      </c>
      <c r="I27" s="153" t="s">
        <v>62</v>
      </c>
      <c r="J27" s="39"/>
      <c r="K27" s="52" t="str">
        <f t="shared" si="1"/>
        <v>SIM</v>
      </c>
      <c r="L27" s="53">
        <v>2020.0</v>
      </c>
      <c r="M27" s="53">
        <v>4.0</v>
      </c>
      <c r="N27" s="39"/>
      <c r="O27" s="56" t="s">
        <v>272</v>
      </c>
      <c r="P27" s="56" t="s">
        <v>274</v>
      </c>
      <c r="Q27" s="53">
        <v>32.0</v>
      </c>
      <c r="R27" s="53">
        <v>2.0</v>
      </c>
      <c r="S27" s="56" t="s">
        <v>275</v>
      </c>
      <c r="T27" s="56" t="s">
        <v>276</v>
      </c>
      <c r="U27" s="56" t="s">
        <v>77</v>
      </c>
      <c r="V27" s="58"/>
      <c r="W27" s="155" t="s">
        <v>143</v>
      </c>
      <c r="X27" s="58"/>
      <c r="Y27" s="56" t="s">
        <v>277</v>
      </c>
      <c r="Z27" s="53">
        <v>3.253948E7</v>
      </c>
      <c r="AA27" s="61" t="s">
        <v>279</v>
      </c>
      <c r="AB27" s="5"/>
      <c r="AC27" s="5"/>
      <c r="AD27" s="5"/>
      <c r="AE27" s="5"/>
      <c r="AF27" s="5"/>
    </row>
    <row r="28" ht="22.5" customHeight="1">
      <c r="A28" s="14" t="s">
        <v>376</v>
      </c>
      <c r="B28" s="118" t="s">
        <v>401</v>
      </c>
      <c r="C28" s="54"/>
      <c r="D28" s="40" t="s">
        <v>402</v>
      </c>
      <c r="E28" s="42" t="s">
        <v>60</v>
      </c>
      <c r="F28" s="27" t="s">
        <v>62</v>
      </c>
      <c r="G28" s="66"/>
      <c r="H28" s="125" t="s">
        <v>60</v>
      </c>
      <c r="I28" s="125" t="s">
        <v>62</v>
      </c>
      <c r="J28" s="49"/>
      <c r="K28" s="52" t="str">
        <f t="shared" si="1"/>
        <v>SIM</v>
      </c>
      <c r="L28" s="47">
        <v>2025.0</v>
      </c>
      <c r="M28" s="49"/>
      <c r="N28" s="49"/>
      <c r="O28" s="57" t="s">
        <v>403</v>
      </c>
      <c r="P28" s="57" t="s">
        <v>404</v>
      </c>
      <c r="Q28" s="49"/>
      <c r="R28" s="49"/>
      <c r="S28" s="54"/>
      <c r="T28" s="57" t="s">
        <v>405</v>
      </c>
      <c r="U28" s="54"/>
      <c r="V28" s="54"/>
      <c r="W28" s="106"/>
      <c r="X28" s="54"/>
      <c r="Y28" s="54"/>
      <c r="Z28" s="49"/>
      <c r="AA28" s="62"/>
      <c r="AB28" s="5"/>
      <c r="AC28" s="5"/>
      <c r="AD28" s="5"/>
      <c r="AE28" s="5"/>
      <c r="AF28" s="5"/>
    </row>
    <row r="29" ht="22.5" customHeight="1">
      <c r="A29" s="64" t="s">
        <v>388</v>
      </c>
      <c r="B29" s="131" t="s">
        <v>407</v>
      </c>
      <c r="C29" s="93"/>
      <c r="D29" s="111" t="s">
        <v>408</v>
      </c>
      <c r="E29" s="112" t="s">
        <v>60</v>
      </c>
      <c r="F29" s="27" t="s">
        <v>62</v>
      </c>
      <c r="G29" s="121"/>
      <c r="H29" s="163" t="s">
        <v>60</v>
      </c>
      <c r="I29" s="163" t="s">
        <v>62</v>
      </c>
      <c r="J29" s="98"/>
      <c r="K29" s="52" t="str">
        <f t="shared" si="1"/>
        <v>SIM</v>
      </c>
      <c r="L29" s="97">
        <v>2023.0</v>
      </c>
      <c r="M29" s="97">
        <v>6.0</v>
      </c>
      <c r="N29" s="98"/>
      <c r="O29" s="99" t="s">
        <v>129</v>
      </c>
      <c r="P29" s="99" t="s">
        <v>130</v>
      </c>
      <c r="Q29" s="97">
        <v>143.0</v>
      </c>
      <c r="R29" s="98"/>
      <c r="S29" s="93"/>
      <c r="T29" s="99" t="s">
        <v>409</v>
      </c>
      <c r="U29" s="93"/>
      <c r="V29" s="93"/>
      <c r="W29" s="100"/>
      <c r="X29" s="93"/>
      <c r="Y29" s="93"/>
      <c r="Z29" s="98"/>
      <c r="AA29" s="102"/>
      <c r="AB29" s="5"/>
      <c r="AC29" s="5"/>
      <c r="AD29" s="5"/>
      <c r="AE29" s="5"/>
      <c r="AF29" s="5"/>
    </row>
    <row r="30" ht="22.5" customHeight="1">
      <c r="A30" s="14" t="s">
        <v>400</v>
      </c>
      <c r="B30" s="126" t="s">
        <v>411</v>
      </c>
      <c r="C30" s="58"/>
      <c r="D30" s="25" t="s">
        <v>412</v>
      </c>
      <c r="E30" s="28" t="s">
        <v>60</v>
      </c>
      <c r="F30" s="27" t="s">
        <v>62</v>
      </c>
      <c r="G30" s="121"/>
      <c r="H30" s="153" t="s">
        <v>60</v>
      </c>
      <c r="I30" s="153" t="s">
        <v>62</v>
      </c>
      <c r="J30" s="39"/>
      <c r="K30" s="52" t="str">
        <f t="shared" si="1"/>
        <v>SIM</v>
      </c>
      <c r="L30" s="53">
        <v>2023.0</v>
      </c>
      <c r="M30" s="53">
        <v>10.0</v>
      </c>
      <c r="N30" s="39"/>
      <c r="O30" s="56" t="s">
        <v>413</v>
      </c>
      <c r="P30" s="56" t="s">
        <v>414</v>
      </c>
      <c r="Q30" s="53">
        <v>20.0</v>
      </c>
      <c r="R30" s="53">
        <v>4.0</v>
      </c>
      <c r="S30" s="56" t="s">
        <v>415</v>
      </c>
      <c r="T30" s="56" t="s">
        <v>416</v>
      </c>
      <c r="U30" s="58"/>
      <c r="V30" s="58"/>
      <c r="W30" s="138"/>
      <c r="X30" s="58"/>
      <c r="Y30" s="58"/>
      <c r="Z30" s="39"/>
      <c r="AA30" s="79"/>
      <c r="AB30" s="5"/>
      <c r="AC30" s="5"/>
      <c r="AD30" s="5"/>
      <c r="AE30" s="5"/>
      <c r="AF30" s="5"/>
    </row>
    <row r="31" ht="22.5" customHeight="1">
      <c r="A31" s="64" t="s">
        <v>406</v>
      </c>
      <c r="B31" s="126" t="s">
        <v>88</v>
      </c>
      <c r="C31" s="21" t="s">
        <v>89</v>
      </c>
      <c r="D31" s="25" t="s">
        <v>89</v>
      </c>
      <c r="E31" s="28" t="s">
        <v>60</v>
      </c>
      <c r="F31" s="27" t="s">
        <v>62</v>
      </c>
      <c r="G31" s="121" t="s">
        <v>424</v>
      </c>
      <c r="H31" s="32" t="s">
        <v>60</v>
      </c>
      <c r="I31" s="36" t="s">
        <v>62</v>
      </c>
      <c r="J31" s="39"/>
      <c r="K31" s="52" t="str">
        <f t="shared" si="1"/>
        <v>SIM</v>
      </c>
      <c r="L31" s="53">
        <v>2015.0</v>
      </c>
      <c r="M31" s="39"/>
      <c r="N31" s="39"/>
      <c r="O31" s="58"/>
      <c r="P31" s="58"/>
      <c r="Q31" s="39"/>
      <c r="R31" s="39"/>
      <c r="S31" s="56" t="s">
        <v>97</v>
      </c>
      <c r="T31" s="56" t="s">
        <v>98</v>
      </c>
      <c r="U31" s="58"/>
      <c r="V31" s="56" t="s">
        <v>78</v>
      </c>
      <c r="W31" s="78" t="s">
        <v>80</v>
      </c>
      <c r="X31" s="58"/>
      <c r="Y31" s="56" t="s">
        <v>99</v>
      </c>
      <c r="Z31" s="39"/>
      <c r="AA31" s="79"/>
      <c r="AB31" s="5"/>
      <c r="AC31" s="5"/>
      <c r="AD31" s="5"/>
      <c r="AE31" s="5"/>
      <c r="AF31" s="5"/>
    </row>
    <row r="32" ht="22.5" customHeight="1">
      <c r="A32" s="14" t="s">
        <v>410</v>
      </c>
      <c r="B32" s="118" t="s">
        <v>328</v>
      </c>
      <c r="C32" s="33" t="s">
        <v>329</v>
      </c>
      <c r="D32" s="40" t="s">
        <v>330</v>
      </c>
      <c r="E32" s="42" t="s">
        <v>60</v>
      </c>
      <c r="F32" s="27" t="s">
        <v>62</v>
      </c>
      <c r="G32" s="66"/>
      <c r="H32" s="125" t="s">
        <v>60</v>
      </c>
      <c r="I32" s="125" t="s">
        <v>62</v>
      </c>
      <c r="J32" s="49"/>
      <c r="K32" s="52" t="str">
        <f t="shared" si="1"/>
        <v>SIM</v>
      </c>
      <c r="L32" s="47">
        <v>2020.0</v>
      </c>
      <c r="M32" s="47">
        <v>10.0</v>
      </c>
      <c r="N32" s="49"/>
      <c r="O32" s="57" t="s">
        <v>332</v>
      </c>
      <c r="P32" s="57" t="s">
        <v>333</v>
      </c>
      <c r="Q32" s="47">
        <v>23.0</v>
      </c>
      <c r="R32" s="49"/>
      <c r="S32" s="57" t="s">
        <v>334</v>
      </c>
      <c r="T32" s="57" t="s">
        <v>335</v>
      </c>
      <c r="U32" s="57" t="s">
        <v>77</v>
      </c>
      <c r="V32" s="54"/>
      <c r="W32" s="129" t="s">
        <v>79</v>
      </c>
      <c r="X32" s="54"/>
      <c r="Y32" s="57" t="s">
        <v>336</v>
      </c>
      <c r="Z32" s="47">
        <v>3.3000904E7</v>
      </c>
      <c r="AA32" s="130" t="s">
        <v>337</v>
      </c>
      <c r="AB32" s="5"/>
      <c r="AC32" s="5"/>
      <c r="AD32" s="5"/>
      <c r="AE32" s="5"/>
      <c r="AF32" s="5"/>
    </row>
    <row r="33" ht="22.5" customHeight="1">
      <c r="A33" s="64" t="s">
        <v>419</v>
      </c>
      <c r="B33" s="144" t="s">
        <v>433</v>
      </c>
      <c r="C33" s="58"/>
      <c r="D33" s="25" t="s">
        <v>434</v>
      </c>
      <c r="E33" s="28" t="s">
        <v>60</v>
      </c>
      <c r="F33" s="27" t="s">
        <v>62</v>
      </c>
      <c r="G33" s="121"/>
      <c r="H33" s="32" t="s">
        <v>60</v>
      </c>
      <c r="I33" s="36" t="s">
        <v>62</v>
      </c>
      <c r="J33" s="39"/>
      <c r="K33" s="52" t="str">
        <f t="shared" si="1"/>
        <v>SIM</v>
      </c>
      <c r="L33" s="53">
        <v>2025.0</v>
      </c>
      <c r="M33" s="53">
        <v>11.0</v>
      </c>
      <c r="N33" s="39"/>
      <c r="O33" s="56" t="s">
        <v>365</v>
      </c>
      <c r="P33" s="56" t="s">
        <v>366</v>
      </c>
      <c r="Q33" s="53">
        <v>28.0</v>
      </c>
      <c r="R33" s="53">
        <v>6.0</v>
      </c>
      <c r="S33" s="56" t="s">
        <v>435</v>
      </c>
      <c r="T33" s="56" t="s">
        <v>436</v>
      </c>
      <c r="U33" s="58"/>
      <c r="V33" s="58"/>
      <c r="W33" s="138"/>
      <c r="X33" s="58"/>
      <c r="Y33" s="58"/>
      <c r="Z33" s="39"/>
      <c r="AA33" s="79"/>
      <c r="AB33" s="5"/>
      <c r="AC33" s="5"/>
      <c r="AD33" s="5"/>
      <c r="AE33" s="5"/>
      <c r="AF33" s="5"/>
    </row>
    <row r="34" ht="22.5" customHeight="1">
      <c r="A34" s="14" t="s">
        <v>425</v>
      </c>
      <c r="B34" s="131" t="s">
        <v>438</v>
      </c>
      <c r="C34" s="93"/>
      <c r="D34" s="111" t="s">
        <v>439</v>
      </c>
      <c r="E34" s="112" t="s">
        <v>60</v>
      </c>
      <c r="F34" s="27" t="s">
        <v>62</v>
      </c>
      <c r="G34" s="121"/>
      <c r="H34" s="104" t="s">
        <v>60</v>
      </c>
      <c r="I34" s="105" t="s">
        <v>62</v>
      </c>
      <c r="J34" s="98"/>
      <c r="K34" s="52" t="str">
        <f t="shared" si="1"/>
        <v>SIM</v>
      </c>
      <c r="L34" s="97">
        <v>2025.0</v>
      </c>
      <c r="M34" s="98"/>
      <c r="N34" s="98"/>
      <c r="O34" s="99" t="s">
        <v>66</v>
      </c>
      <c r="P34" s="99" t="s">
        <v>67</v>
      </c>
      <c r="Q34" s="98"/>
      <c r="R34" s="98"/>
      <c r="S34" s="93"/>
      <c r="T34" s="99" t="s">
        <v>440</v>
      </c>
      <c r="U34" s="93"/>
      <c r="V34" s="93"/>
      <c r="W34" s="100"/>
      <c r="X34" s="93"/>
      <c r="Y34" s="93"/>
      <c r="Z34" s="98"/>
      <c r="AA34" s="102"/>
      <c r="AB34" s="5"/>
      <c r="AC34" s="5"/>
      <c r="AD34" s="5"/>
      <c r="AE34" s="5"/>
      <c r="AF34" s="5"/>
    </row>
    <row r="35" ht="22.5" customHeight="1">
      <c r="A35" s="64" t="s">
        <v>431</v>
      </c>
      <c r="B35" s="144" t="s">
        <v>111</v>
      </c>
      <c r="C35" s="58"/>
      <c r="D35" s="25" t="s">
        <v>112</v>
      </c>
      <c r="E35" s="28" t="s">
        <v>60</v>
      </c>
      <c r="F35" s="27" t="s">
        <v>62</v>
      </c>
      <c r="G35" s="30"/>
      <c r="H35" s="32" t="s">
        <v>60</v>
      </c>
      <c r="I35" s="36" t="s">
        <v>62</v>
      </c>
      <c r="J35" s="39"/>
      <c r="K35" s="52" t="str">
        <f t="shared" si="1"/>
        <v>SIM</v>
      </c>
      <c r="L35" s="53">
        <v>2015.0</v>
      </c>
      <c r="M35" s="53">
        <v>2.0</v>
      </c>
      <c r="N35" s="39"/>
      <c r="O35" s="56" t="s">
        <v>116</v>
      </c>
      <c r="P35" s="56" t="s">
        <v>117</v>
      </c>
      <c r="Q35" s="53">
        <v>65.0</v>
      </c>
      <c r="R35" s="53">
        <v>1.0</v>
      </c>
      <c r="S35" s="56" t="s">
        <v>118</v>
      </c>
      <c r="T35" s="56" t="s">
        <v>119</v>
      </c>
      <c r="U35" s="58"/>
      <c r="V35" s="58"/>
      <c r="W35" s="138"/>
      <c r="X35" s="58"/>
      <c r="Y35" s="58"/>
      <c r="Z35" s="39"/>
      <c r="AA35" s="79"/>
      <c r="AB35" s="5"/>
      <c r="AC35" s="5"/>
      <c r="AD35" s="5"/>
      <c r="AE35" s="5"/>
      <c r="AF35" s="5"/>
    </row>
    <row r="36" ht="22.5" customHeight="1">
      <c r="A36" s="14" t="s">
        <v>437</v>
      </c>
      <c r="B36" s="118" t="s">
        <v>127</v>
      </c>
      <c r="C36" s="54"/>
      <c r="D36" s="40" t="s">
        <v>128</v>
      </c>
      <c r="E36" s="42" t="s">
        <v>60</v>
      </c>
      <c r="F36" s="27" t="s">
        <v>62</v>
      </c>
      <c r="G36" s="66" t="s">
        <v>449</v>
      </c>
      <c r="H36" s="71" t="s">
        <v>60</v>
      </c>
      <c r="I36" s="72" t="s">
        <v>62</v>
      </c>
      <c r="J36" s="49"/>
      <c r="K36" s="52" t="str">
        <f t="shared" si="1"/>
        <v>SIM</v>
      </c>
      <c r="L36" s="47">
        <v>2016.0</v>
      </c>
      <c r="M36" s="47">
        <v>12.0</v>
      </c>
      <c r="N36" s="49"/>
      <c r="O36" s="57" t="s">
        <v>129</v>
      </c>
      <c r="P36" s="57" t="s">
        <v>130</v>
      </c>
      <c r="Q36" s="47">
        <v>65.0</v>
      </c>
      <c r="R36" s="49"/>
      <c r="S36" s="57" t="s">
        <v>131</v>
      </c>
      <c r="T36" s="57" t="s">
        <v>132</v>
      </c>
      <c r="U36" s="54"/>
      <c r="V36" s="54"/>
      <c r="W36" s="106"/>
      <c r="X36" s="54"/>
      <c r="Y36" s="54"/>
      <c r="Z36" s="49"/>
      <c r="AA36" s="62"/>
      <c r="AB36" s="5"/>
      <c r="AC36" s="5"/>
      <c r="AD36" s="5"/>
      <c r="AE36" s="5"/>
      <c r="AF36" s="5"/>
    </row>
    <row r="37" ht="22.5" customHeight="1">
      <c r="A37" s="64" t="s">
        <v>441</v>
      </c>
      <c r="B37" s="133" t="s">
        <v>451</v>
      </c>
      <c r="C37" s="103" t="s">
        <v>452</v>
      </c>
      <c r="D37" s="111" t="s">
        <v>452</v>
      </c>
      <c r="E37" s="112" t="s">
        <v>60</v>
      </c>
      <c r="F37" s="27" t="s">
        <v>62</v>
      </c>
      <c r="G37" s="121" t="s">
        <v>454</v>
      </c>
      <c r="H37" s="104" t="s">
        <v>60</v>
      </c>
      <c r="I37" s="105" t="s">
        <v>62</v>
      </c>
      <c r="J37" s="98"/>
      <c r="K37" s="52" t="str">
        <f t="shared" si="1"/>
        <v>SIM</v>
      </c>
      <c r="L37" s="97">
        <v>2025.0</v>
      </c>
      <c r="M37" s="98"/>
      <c r="N37" s="98"/>
      <c r="O37" s="93"/>
      <c r="P37" s="93"/>
      <c r="Q37" s="98"/>
      <c r="R37" s="98"/>
      <c r="S37" s="93"/>
      <c r="T37" s="99" t="s">
        <v>457</v>
      </c>
      <c r="U37" s="93"/>
      <c r="V37" s="99" t="s">
        <v>78</v>
      </c>
      <c r="W37" s="132" t="s">
        <v>80</v>
      </c>
      <c r="X37" s="93"/>
      <c r="Y37" s="99" t="s">
        <v>458</v>
      </c>
      <c r="Z37" s="98"/>
      <c r="AA37" s="102"/>
      <c r="AB37" s="5"/>
      <c r="AC37" s="5"/>
      <c r="AD37" s="5"/>
      <c r="AE37" s="5"/>
      <c r="AF37" s="5"/>
    </row>
    <row r="38" ht="22.5" customHeight="1">
      <c r="A38" s="14" t="s">
        <v>448</v>
      </c>
      <c r="B38" s="88" t="s">
        <v>463</v>
      </c>
      <c r="C38" s="19"/>
      <c r="D38" s="22" t="s">
        <v>464</v>
      </c>
      <c r="E38" s="24" t="s">
        <v>60</v>
      </c>
      <c r="F38" s="27" t="s">
        <v>62</v>
      </c>
      <c r="G38" s="29"/>
      <c r="H38" s="84" t="s">
        <v>60</v>
      </c>
      <c r="I38" s="85" t="s">
        <v>62</v>
      </c>
      <c r="J38" s="35"/>
      <c r="K38" s="52" t="str">
        <f t="shared" si="1"/>
        <v>SIM</v>
      </c>
      <c r="L38" s="31">
        <v>2025.0</v>
      </c>
      <c r="M38" s="35"/>
      <c r="N38" s="35"/>
      <c r="O38" s="38" t="s">
        <v>465</v>
      </c>
      <c r="P38" s="38" t="s">
        <v>466</v>
      </c>
      <c r="Q38" s="35"/>
      <c r="R38" s="35"/>
      <c r="S38" s="19"/>
      <c r="T38" s="38" t="s">
        <v>467</v>
      </c>
      <c r="U38" s="19"/>
      <c r="V38" s="19"/>
      <c r="W38" s="46"/>
      <c r="X38" s="19"/>
      <c r="Y38" s="19"/>
      <c r="Z38" s="35"/>
      <c r="AA38" s="50"/>
      <c r="AB38" s="5"/>
      <c r="AC38" s="5"/>
      <c r="AD38" s="5"/>
      <c r="AE38" s="5"/>
      <c r="AF38" s="5"/>
    </row>
    <row r="39" ht="22.5" customHeight="1">
      <c r="A39" s="64" t="s">
        <v>450</v>
      </c>
      <c r="B39" s="133" t="s">
        <v>195</v>
      </c>
      <c r="C39" s="103" t="s">
        <v>197</v>
      </c>
      <c r="D39" s="111" t="s">
        <v>197</v>
      </c>
      <c r="E39" s="112" t="s">
        <v>60</v>
      </c>
      <c r="F39" s="27" t="s">
        <v>62</v>
      </c>
      <c r="G39" s="121" t="s">
        <v>469</v>
      </c>
      <c r="H39" s="104" t="s">
        <v>60</v>
      </c>
      <c r="I39" s="105" t="s">
        <v>62</v>
      </c>
      <c r="J39" s="98"/>
      <c r="K39" s="52" t="str">
        <f t="shared" si="1"/>
        <v>SIM</v>
      </c>
      <c r="L39" s="97">
        <v>2018.0</v>
      </c>
      <c r="M39" s="98"/>
      <c r="N39" s="98"/>
      <c r="O39" s="93"/>
      <c r="P39" s="93"/>
      <c r="Q39" s="98"/>
      <c r="R39" s="98"/>
      <c r="S39" s="99" t="s">
        <v>198</v>
      </c>
      <c r="T39" s="99" t="s">
        <v>199</v>
      </c>
      <c r="U39" s="93"/>
      <c r="V39" s="99" t="s">
        <v>78</v>
      </c>
      <c r="W39" s="132" t="s">
        <v>80</v>
      </c>
      <c r="X39" s="93"/>
      <c r="Y39" s="99" t="s">
        <v>200</v>
      </c>
      <c r="Z39" s="98"/>
      <c r="AA39" s="102"/>
      <c r="AB39" s="5"/>
      <c r="AC39" s="5"/>
      <c r="AD39" s="5"/>
      <c r="AE39" s="5"/>
      <c r="AF39" s="5"/>
    </row>
    <row r="40" ht="22.5" customHeight="1">
      <c r="A40" s="14" t="s">
        <v>462</v>
      </c>
      <c r="B40" s="131" t="s">
        <v>474</v>
      </c>
      <c r="C40" s="93"/>
      <c r="D40" s="111" t="s">
        <v>476</v>
      </c>
      <c r="E40" s="112" t="s">
        <v>60</v>
      </c>
      <c r="F40" s="27" t="s">
        <v>62</v>
      </c>
      <c r="G40" s="121"/>
      <c r="H40" s="104" t="s">
        <v>60</v>
      </c>
      <c r="I40" s="105" t="s">
        <v>62</v>
      </c>
      <c r="J40" s="98"/>
      <c r="K40" s="52" t="str">
        <f t="shared" si="1"/>
        <v>SIM</v>
      </c>
      <c r="L40" s="97">
        <v>2025.0</v>
      </c>
      <c r="M40" s="97">
        <v>5.0</v>
      </c>
      <c r="N40" s="98"/>
      <c r="O40" s="99" t="s">
        <v>478</v>
      </c>
      <c r="P40" s="99" t="s">
        <v>479</v>
      </c>
      <c r="Q40" s="97">
        <v>66.0</v>
      </c>
      <c r="R40" s="97">
        <v>3.0</v>
      </c>
      <c r="S40" s="99" t="s">
        <v>480</v>
      </c>
      <c r="T40" s="99" t="s">
        <v>481</v>
      </c>
      <c r="U40" s="93"/>
      <c r="V40" s="93"/>
      <c r="W40" s="100"/>
      <c r="X40" s="93"/>
      <c r="Y40" s="93"/>
      <c r="Z40" s="98"/>
      <c r="AA40" s="102"/>
      <c r="AB40" s="5"/>
      <c r="AC40" s="5"/>
      <c r="AD40" s="5"/>
      <c r="AE40" s="5"/>
      <c r="AF40" s="5"/>
    </row>
    <row r="41" ht="22.5" customHeight="1">
      <c r="A41" s="64" t="s">
        <v>468</v>
      </c>
      <c r="B41" s="118" t="s">
        <v>47</v>
      </c>
      <c r="C41" s="54"/>
      <c r="D41" s="40" t="s">
        <v>51</v>
      </c>
      <c r="E41" s="42" t="s">
        <v>60</v>
      </c>
      <c r="F41" s="27" t="s">
        <v>62</v>
      </c>
      <c r="G41" s="66"/>
      <c r="H41" s="71" t="s">
        <v>60</v>
      </c>
      <c r="I41" s="72" t="s">
        <v>62</v>
      </c>
      <c r="J41" s="49"/>
      <c r="K41" s="52" t="str">
        <f t="shared" si="1"/>
        <v>SIM</v>
      </c>
      <c r="L41" s="47">
        <v>2014.0</v>
      </c>
      <c r="M41" s="47">
        <v>11.0</v>
      </c>
      <c r="N41" s="49"/>
      <c r="O41" s="57" t="s">
        <v>66</v>
      </c>
      <c r="P41" s="57" t="s">
        <v>67</v>
      </c>
      <c r="Q41" s="47">
        <v>16.0</v>
      </c>
      <c r="R41" s="47">
        <v>7.0</v>
      </c>
      <c r="S41" s="57" t="s">
        <v>68</v>
      </c>
      <c r="T41" s="57" t="s">
        <v>70</v>
      </c>
      <c r="U41" s="54"/>
      <c r="V41" s="54"/>
      <c r="W41" s="106"/>
      <c r="X41" s="54"/>
      <c r="Y41" s="54"/>
      <c r="Z41" s="49"/>
      <c r="AA41" s="62"/>
      <c r="AB41" s="5"/>
      <c r="AC41" s="5"/>
      <c r="AD41" s="5"/>
      <c r="AE41" s="5"/>
      <c r="AF41" s="5"/>
    </row>
    <row r="42" ht="22.5" customHeight="1">
      <c r="A42" s="14" t="s">
        <v>473</v>
      </c>
      <c r="B42" s="144" t="s">
        <v>494</v>
      </c>
      <c r="C42" s="58"/>
      <c r="D42" s="25" t="s">
        <v>496</v>
      </c>
      <c r="E42" s="28" t="s">
        <v>60</v>
      </c>
      <c r="F42" s="27" t="s">
        <v>62</v>
      </c>
      <c r="G42" s="30" t="s">
        <v>498</v>
      </c>
      <c r="H42" s="32" t="s">
        <v>60</v>
      </c>
      <c r="I42" s="36" t="s">
        <v>62</v>
      </c>
      <c r="J42" s="39"/>
      <c r="K42" s="52" t="str">
        <f t="shared" si="1"/>
        <v>SIM</v>
      </c>
      <c r="L42" s="53">
        <v>2024.0</v>
      </c>
      <c r="M42" s="39"/>
      <c r="N42" s="39"/>
      <c r="O42" s="56" t="s">
        <v>465</v>
      </c>
      <c r="P42" s="56" t="s">
        <v>466</v>
      </c>
      <c r="Q42" s="39"/>
      <c r="R42" s="39"/>
      <c r="S42" s="58"/>
      <c r="T42" s="56" t="s">
        <v>500</v>
      </c>
      <c r="U42" s="58"/>
      <c r="V42" s="58"/>
      <c r="W42" s="138"/>
      <c r="X42" s="58"/>
      <c r="Y42" s="58"/>
      <c r="Z42" s="39"/>
      <c r="AA42" s="79"/>
      <c r="AB42" s="5"/>
      <c r="AC42" s="5"/>
      <c r="AD42" s="5"/>
      <c r="AE42" s="5"/>
      <c r="AF42" s="5"/>
    </row>
    <row r="43" ht="22.5" customHeight="1">
      <c r="A43" s="64" t="s">
        <v>482</v>
      </c>
      <c r="B43" s="131" t="s">
        <v>471</v>
      </c>
      <c r="C43" s="93"/>
      <c r="D43" s="111" t="s">
        <v>472</v>
      </c>
      <c r="E43" s="112" t="s">
        <v>60</v>
      </c>
      <c r="F43" s="27" t="s">
        <v>62</v>
      </c>
      <c r="G43" s="121"/>
      <c r="H43" s="104" t="s">
        <v>60</v>
      </c>
      <c r="I43" s="105" t="s">
        <v>62</v>
      </c>
      <c r="J43" s="98"/>
      <c r="K43" s="52" t="str">
        <f t="shared" si="1"/>
        <v>SIM</v>
      </c>
      <c r="L43" s="97">
        <v>2024.0</v>
      </c>
      <c r="M43" s="97">
        <v>10.0</v>
      </c>
      <c r="N43" s="98"/>
      <c r="O43" s="99" t="s">
        <v>192</v>
      </c>
      <c r="P43" s="99" t="s">
        <v>193</v>
      </c>
      <c r="Q43" s="97">
        <v>10.0</v>
      </c>
      <c r="R43" s="97">
        <v>4.0</v>
      </c>
      <c r="S43" s="93"/>
      <c r="T43" s="99" t="s">
        <v>475</v>
      </c>
      <c r="U43" s="93"/>
      <c r="V43" s="93"/>
      <c r="W43" s="100"/>
      <c r="X43" s="93"/>
      <c r="Y43" s="93"/>
      <c r="Z43" s="98"/>
      <c r="AA43" s="102"/>
      <c r="AB43" s="5"/>
      <c r="AC43" s="5"/>
      <c r="AD43" s="5"/>
      <c r="AE43" s="5"/>
      <c r="AF43" s="5"/>
    </row>
    <row r="44" ht="22.5" customHeight="1">
      <c r="A44" s="14" t="s">
        <v>493</v>
      </c>
      <c r="B44" s="126" t="s">
        <v>372</v>
      </c>
      <c r="C44" s="21" t="s">
        <v>373</v>
      </c>
      <c r="D44" s="25" t="s">
        <v>373</v>
      </c>
      <c r="E44" s="28" t="s">
        <v>60</v>
      </c>
      <c r="F44" s="27" t="s">
        <v>62</v>
      </c>
      <c r="G44" s="30" t="s">
        <v>521</v>
      </c>
      <c r="H44" s="32" t="s">
        <v>60</v>
      </c>
      <c r="I44" s="36" t="s">
        <v>62</v>
      </c>
      <c r="J44" s="39"/>
      <c r="K44" s="52" t="str">
        <f t="shared" si="1"/>
        <v>SIM</v>
      </c>
      <c r="L44" s="53">
        <v>2021.0</v>
      </c>
      <c r="M44" s="39"/>
      <c r="N44" s="39"/>
      <c r="O44" s="58"/>
      <c r="P44" s="58"/>
      <c r="Q44" s="39"/>
      <c r="R44" s="39"/>
      <c r="S44" s="58"/>
      <c r="T44" s="56" t="s">
        <v>374</v>
      </c>
      <c r="U44" s="58"/>
      <c r="V44" s="56" t="s">
        <v>78</v>
      </c>
      <c r="W44" s="78" t="s">
        <v>80</v>
      </c>
      <c r="X44" s="58"/>
      <c r="Y44" s="56" t="s">
        <v>375</v>
      </c>
      <c r="Z44" s="39"/>
      <c r="AA44" s="79"/>
      <c r="AB44" s="5"/>
      <c r="AC44" s="5"/>
      <c r="AD44" s="5"/>
      <c r="AE44" s="5"/>
      <c r="AF44" s="5"/>
    </row>
    <row r="45" ht="22.5" customHeight="1">
      <c r="A45" s="64" t="s">
        <v>505</v>
      </c>
      <c r="B45" s="118" t="s">
        <v>205</v>
      </c>
      <c r="C45" s="33" t="s">
        <v>206</v>
      </c>
      <c r="D45" s="40" t="s">
        <v>206</v>
      </c>
      <c r="E45" s="42" t="s">
        <v>60</v>
      </c>
      <c r="F45" s="27" t="s">
        <v>62</v>
      </c>
      <c r="G45" s="66" t="s">
        <v>529</v>
      </c>
      <c r="H45" s="71" t="s">
        <v>60</v>
      </c>
      <c r="I45" s="72" t="s">
        <v>62</v>
      </c>
      <c r="J45" s="49"/>
      <c r="K45" s="52" t="str">
        <f t="shared" si="1"/>
        <v>SIM</v>
      </c>
      <c r="L45" s="47">
        <v>2018.0</v>
      </c>
      <c r="M45" s="47">
        <v>11.0</v>
      </c>
      <c r="N45" s="49"/>
      <c r="O45" s="57" t="s">
        <v>207</v>
      </c>
      <c r="P45" s="54"/>
      <c r="Q45" s="47">
        <v>2.0</v>
      </c>
      <c r="R45" s="49"/>
      <c r="S45" s="54"/>
      <c r="T45" s="57" t="s">
        <v>208</v>
      </c>
      <c r="U45" s="54"/>
      <c r="V45" s="57" t="s">
        <v>78</v>
      </c>
      <c r="W45" s="60" t="s">
        <v>80</v>
      </c>
      <c r="X45" s="54"/>
      <c r="Y45" s="57" t="s">
        <v>209</v>
      </c>
      <c r="Z45" s="49"/>
      <c r="AA45" s="62"/>
      <c r="AB45" s="5"/>
      <c r="AC45" s="5"/>
      <c r="AD45" s="5"/>
      <c r="AE45" s="5"/>
      <c r="AF45" s="5"/>
    </row>
    <row r="46" ht="22.5" customHeight="1">
      <c r="A46" s="14" t="s">
        <v>516</v>
      </c>
      <c r="B46" s="131" t="s">
        <v>170</v>
      </c>
      <c r="C46" s="93"/>
      <c r="D46" s="111" t="s">
        <v>172</v>
      </c>
      <c r="E46" s="112" t="s">
        <v>60</v>
      </c>
      <c r="F46" s="27" t="s">
        <v>62</v>
      </c>
      <c r="G46" s="121" t="s">
        <v>534</v>
      </c>
      <c r="H46" s="104" t="s">
        <v>60</v>
      </c>
      <c r="I46" s="105" t="s">
        <v>62</v>
      </c>
      <c r="J46" s="98"/>
      <c r="K46" s="52" t="str">
        <f t="shared" si="1"/>
        <v>SIM</v>
      </c>
      <c r="L46" s="97">
        <v>2017.0</v>
      </c>
      <c r="M46" s="98"/>
      <c r="N46" s="98"/>
      <c r="O46" s="99" t="s">
        <v>180</v>
      </c>
      <c r="P46" s="99" t="s">
        <v>181</v>
      </c>
      <c r="Q46" s="97">
        <v>9.0</v>
      </c>
      <c r="R46" s="97">
        <v>2.0</v>
      </c>
      <c r="S46" s="99" t="s">
        <v>182</v>
      </c>
      <c r="T46" s="99" t="s">
        <v>183</v>
      </c>
      <c r="U46" s="93"/>
      <c r="V46" s="93"/>
      <c r="W46" s="100"/>
      <c r="X46" s="93"/>
      <c r="Y46" s="93"/>
      <c r="Z46" s="98"/>
      <c r="AA46" s="102"/>
      <c r="AB46" s="5"/>
      <c r="AC46" s="5"/>
      <c r="AD46" s="5"/>
      <c r="AE46" s="5"/>
      <c r="AF46" s="5"/>
    </row>
    <row r="47" ht="22.5" customHeight="1">
      <c r="A47" s="64" t="s">
        <v>522</v>
      </c>
      <c r="B47" s="144" t="s">
        <v>455</v>
      </c>
      <c r="C47" s="58"/>
      <c r="D47" s="25" t="s">
        <v>456</v>
      </c>
      <c r="E47" s="28" t="s">
        <v>60</v>
      </c>
      <c r="F47" s="27" t="s">
        <v>62</v>
      </c>
      <c r="G47" s="30" t="s">
        <v>539</v>
      </c>
      <c r="H47" s="32" t="s">
        <v>60</v>
      </c>
      <c r="I47" s="36" t="s">
        <v>62</v>
      </c>
      <c r="J47" s="39"/>
      <c r="K47" s="52" t="str">
        <f t="shared" si="1"/>
        <v>SIM</v>
      </c>
      <c r="L47" s="53">
        <v>2023.0</v>
      </c>
      <c r="M47" s="53">
        <v>6.0</v>
      </c>
      <c r="N47" s="39"/>
      <c r="O47" s="56" t="s">
        <v>459</v>
      </c>
      <c r="P47" s="56" t="s">
        <v>460</v>
      </c>
      <c r="Q47" s="53">
        <v>17.0</v>
      </c>
      <c r="R47" s="53">
        <v>6.0</v>
      </c>
      <c r="S47" s="58"/>
      <c r="T47" s="56" t="s">
        <v>461</v>
      </c>
      <c r="U47" s="58"/>
      <c r="V47" s="58"/>
      <c r="W47" s="138"/>
      <c r="X47" s="58"/>
      <c r="Y47" s="58"/>
      <c r="Z47" s="39"/>
      <c r="AA47" s="79"/>
      <c r="AB47" s="5"/>
      <c r="AC47" s="5"/>
      <c r="AD47" s="5"/>
      <c r="AE47" s="5"/>
      <c r="AF47" s="5"/>
    </row>
    <row r="48" ht="22.5" customHeight="1">
      <c r="A48" s="14" t="s">
        <v>530</v>
      </c>
      <c r="B48" s="128" t="s">
        <v>339</v>
      </c>
      <c r="C48" s="33" t="s">
        <v>340</v>
      </c>
      <c r="D48" s="40" t="s">
        <v>340</v>
      </c>
      <c r="E48" s="42" t="s">
        <v>60</v>
      </c>
      <c r="F48" s="27" t="s">
        <v>62</v>
      </c>
      <c r="G48" s="66"/>
      <c r="H48" s="71" t="s">
        <v>60</v>
      </c>
      <c r="I48" s="72" t="s">
        <v>62</v>
      </c>
      <c r="J48" s="49"/>
      <c r="K48" s="52" t="str">
        <f t="shared" si="1"/>
        <v>SIM</v>
      </c>
      <c r="L48" s="47">
        <v>2020.0</v>
      </c>
      <c r="M48" s="49"/>
      <c r="N48" s="49"/>
      <c r="O48" s="54"/>
      <c r="P48" s="54"/>
      <c r="Q48" s="49"/>
      <c r="R48" s="49"/>
      <c r="S48" s="57" t="s">
        <v>344</v>
      </c>
      <c r="T48" s="57" t="s">
        <v>345</v>
      </c>
      <c r="U48" s="54"/>
      <c r="V48" s="57" t="s">
        <v>78</v>
      </c>
      <c r="W48" s="60" t="s">
        <v>80</v>
      </c>
      <c r="X48" s="54"/>
      <c r="Y48" s="57" t="s">
        <v>346</v>
      </c>
      <c r="Z48" s="49"/>
      <c r="AA48" s="62"/>
      <c r="AB48" s="5"/>
      <c r="AC48" s="5"/>
      <c r="AD48" s="5"/>
      <c r="AE48" s="5"/>
      <c r="AF48" s="5"/>
    </row>
    <row r="49" ht="22.5" customHeight="1">
      <c r="A49" s="64" t="s">
        <v>537</v>
      </c>
      <c r="B49" s="128" t="s">
        <v>544</v>
      </c>
      <c r="C49" s="33" t="s">
        <v>545</v>
      </c>
      <c r="D49" s="40" t="s">
        <v>545</v>
      </c>
      <c r="E49" s="42" t="s">
        <v>60</v>
      </c>
      <c r="F49" s="27" t="s">
        <v>62</v>
      </c>
      <c r="G49" s="66" t="s">
        <v>546</v>
      </c>
      <c r="H49" s="71" t="s">
        <v>60</v>
      </c>
      <c r="I49" s="72" t="s">
        <v>62</v>
      </c>
      <c r="J49" s="47" t="s">
        <v>547</v>
      </c>
      <c r="K49" s="52" t="str">
        <f t="shared" si="1"/>
        <v>SIM</v>
      </c>
      <c r="L49" s="47">
        <v>2025.0</v>
      </c>
      <c r="M49" s="49"/>
      <c r="N49" s="49"/>
      <c r="O49" s="54"/>
      <c r="P49" s="54"/>
      <c r="Q49" s="49"/>
      <c r="R49" s="49"/>
      <c r="S49" s="54"/>
      <c r="T49" s="57" t="s">
        <v>548</v>
      </c>
      <c r="U49" s="54"/>
      <c r="V49" s="57" t="s">
        <v>78</v>
      </c>
      <c r="W49" s="60" t="s">
        <v>80</v>
      </c>
      <c r="X49" s="54"/>
      <c r="Y49" s="57" t="s">
        <v>549</v>
      </c>
      <c r="Z49" s="49"/>
      <c r="AA49" s="62"/>
      <c r="AB49" s="5"/>
      <c r="AC49" s="5"/>
      <c r="AD49" s="5"/>
      <c r="AE49" s="5"/>
      <c r="AF49" s="5"/>
    </row>
    <row r="50" ht="22.5" customHeight="1">
      <c r="A50" s="14" t="s">
        <v>540</v>
      </c>
      <c r="B50" s="131" t="s">
        <v>223</v>
      </c>
      <c r="C50" s="103" t="s">
        <v>224</v>
      </c>
      <c r="D50" s="111" t="s">
        <v>224</v>
      </c>
      <c r="E50" s="112" t="s">
        <v>60</v>
      </c>
      <c r="F50" s="27" t="s">
        <v>62</v>
      </c>
      <c r="G50" s="121"/>
      <c r="H50" s="104" t="s">
        <v>60</v>
      </c>
      <c r="I50" s="105" t="s">
        <v>62</v>
      </c>
      <c r="J50" s="98"/>
      <c r="K50" s="52" t="str">
        <f t="shared" si="1"/>
        <v>SIM</v>
      </c>
      <c r="L50" s="97">
        <v>2018.0</v>
      </c>
      <c r="M50" s="97">
        <v>11.0</v>
      </c>
      <c r="N50" s="98"/>
      <c r="O50" s="99" t="s">
        <v>207</v>
      </c>
      <c r="P50" s="93"/>
      <c r="Q50" s="97">
        <v>2.0</v>
      </c>
      <c r="R50" s="98"/>
      <c r="S50" s="93"/>
      <c r="T50" s="99" t="s">
        <v>225</v>
      </c>
      <c r="U50" s="93"/>
      <c r="V50" s="99" t="s">
        <v>78</v>
      </c>
      <c r="W50" s="132" t="s">
        <v>80</v>
      </c>
      <c r="X50" s="93"/>
      <c r="Y50" s="99" t="s">
        <v>226</v>
      </c>
      <c r="Z50" s="98"/>
      <c r="AA50" s="102"/>
      <c r="AB50" s="5"/>
      <c r="AC50" s="5"/>
      <c r="AD50" s="5"/>
      <c r="AE50" s="5"/>
      <c r="AF50" s="5"/>
    </row>
    <row r="51" ht="22.5" customHeight="1">
      <c r="A51" s="64" t="s">
        <v>541</v>
      </c>
      <c r="B51" s="88" t="s">
        <v>487</v>
      </c>
      <c r="C51" s="19"/>
      <c r="D51" s="22" t="s">
        <v>488</v>
      </c>
      <c r="E51" s="24" t="s">
        <v>60</v>
      </c>
      <c r="F51" s="27" t="s">
        <v>62</v>
      </c>
      <c r="G51" s="29"/>
      <c r="H51" s="84" t="s">
        <v>60</v>
      </c>
      <c r="I51" s="85" t="s">
        <v>62</v>
      </c>
      <c r="J51" s="35"/>
      <c r="K51" s="52" t="str">
        <f t="shared" si="1"/>
        <v>SIM</v>
      </c>
      <c r="L51" s="31">
        <v>2024.0</v>
      </c>
      <c r="M51" s="31">
        <v>9.0</v>
      </c>
      <c r="N51" s="35"/>
      <c r="O51" s="38" t="s">
        <v>491</v>
      </c>
      <c r="P51" s="19"/>
      <c r="Q51" s="31">
        <v>13.0</v>
      </c>
      <c r="R51" s="31">
        <v>9.0</v>
      </c>
      <c r="S51" s="19"/>
      <c r="T51" s="38" t="s">
        <v>492</v>
      </c>
      <c r="U51" s="19"/>
      <c r="V51" s="19"/>
      <c r="W51" s="46"/>
      <c r="X51" s="19"/>
      <c r="Y51" s="19"/>
      <c r="Z51" s="35"/>
      <c r="AA51" s="50"/>
      <c r="AB51" s="5"/>
      <c r="AC51" s="5"/>
      <c r="AD51" s="5"/>
      <c r="AE51" s="5"/>
      <c r="AF51" s="5"/>
    </row>
    <row r="52" ht="22.5" customHeight="1">
      <c r="A52" s="14" t="s">
        <v>543</v>
      </c>
      <c r="B52" s="118" t="s">
        <v>554</v>
      </c>
      <c r="C52" s="54"/>
      <c r="D52" s="40" t="s">
        <v>555</v>
      </c>
      <c r="E52" s="42" t="s">
        <v>60</v>
      </c>
      <c r="F52" s="27" t="s">
        <v>62</v>
      </c>
      <c r="G52" s="66"/>
      <c r="H52" s="71" t="s">
        <v>60</v>
      </c>
      <c r="I52" s="72" t="s">
        <v>62</v>
      </c>
      <c r="J52" s="49"/>
      <c r="K52" s="52" t="str">
        <f t="shared" si="1"/>
        <v>SIM</v>
      </c>
      <c r="L52" s="47">
        <v>2024.0</v>
      </c>
      <c r="M52" s="47">
        <v>8.0</v>
      </c>
      <c r="N52" s="49"/>
      <c r="O52" s="57" t="s">
        <v>556</v>
      </c>
      <c r="P52" s="57" t="s">
        <v>557</v>
      </c>
      <c r="Q52" s="47">
        <v>43.0</v>
      </c>
      <c r="R52" s="47">
        <v>3.0</v>
      </c>
      <c r="S52" s="57" t="s">
        <v>558</v>
      </c>
      <c r="T52" s="57" t="s">
        <v>559</v>
      </c>
      <c r="U52" s="54"/>
      <c r="V52" s="54"/>
      <c r="W52" s="106"/>
      <c r="X52" s="54"/>
      <c r="Y52" s="54"/>
      <c r="Z52" s="49"/>
      <c r="AA52" s="62"/>
      <c r="AB52" s="5"/>
      <c r="AC52" s="5"/>
      <c r="AD52" s="5"/>
      <c r="AE52" s="5"/>
      <c r="AF52" s="5"/>
    </row>
    <row r="53" ht="22.5" customHeight="1">
      <c r="A53" s="64" t="s">
        <v>550</v>
      </c>
      <c r="B53" s="128" t="s">
        <v>495</v>
      </c>
      <c r="C53" s="33" t="s">
        <v>497</v>
      </c>
      <c r="D53" s="40" t="s">
        <v>499</v>
      </c>
      <c r="E53" s="42" t="s">
        <v>60</v>
      </c>
      <c r="F53" s="27" t="s">
        <v>62</v>
      </c>
      <c r="G53" s="66"/>
      <c r="H53" s="71" t="s">
        <v>60</v>
      </c>
      <c r="I53" s="72" t="s">
        <v>62</v>
      </c>
      <c r="J53" s="49"/>
      <c r="K53" s="52" t="str">
        <f t="shared" si="1"/>
        <v>SIM</v>
      </c>
      <c r="L53" s="47">
        <v>2024.0</v>
      </c>
      <c r="M53" s="49"/>
      <c r="N53" s="49"/>
      <c r="O53" s="57" t="s">
        <v>501</v>
      </c>
      <c r="P53" s="57" t="s">
        <v>502</v>
      </c>
      <c r="Q53" s="47">
        <v>25.0</v>
      </c>
      <c r="R53" s="47">
        <v>1.0</v>
      </c>
      <c r="S53" s="57" t="s">
        <v>503</v>
      </c>
      <c r="T53" s="57" t="s">
        <v>504</v>
      </c>
      <c r="U53" s="57" t="s">
        <v>77</v>
      </c>
      <c r="V53" s="54"/>
      <c r="W53" s="167" t="s">
        <v>143</v>
      </c>
      <c r="X53" s="54"/>
      <c r="Y53" s="54"/>
      <c r="Z53" s="47">
        <v>3.8328588E7</v>
      </c>
      <c r="AA53" s="130" t="s">
        <v>507</v>
      </c>
      <c r="AB53" s="5"/>
      <c r="AC53" s="5"/>
      <c r="AD53" s="5"/>
      <c r="AE53" s="5"/>
      <c r="AF53" s="5"/>
    </row>
    <row r="54" ht="22.5" customHeight="1">
      <c r="A54" s="14" t="s">
        <v>551</v>
      </c>
      <c r="B54" s="136" t="s">
        <v>442</v>
      </c>
      <c r="C54" s="107" t="s">
        <v>443</v>
      </c>
      <c r="D54" s="22" t="s">
        <v>444</v>
      </c>
      <c r="E54" s="24" t="s">
        <v>60</v>
      </c>
      <c r="F54" s="27" t="s">
        <v>62</v>
      </c>
      <c r="G54" s="29"/>
      <c r="H54" s="84" t="s">
        <v>60</v>
      </c>
      <c r="I54" s="85" t="s">
        <v>62</v>
      </c>
      <c r="J54" s="35"/>
      <c r="K54" s="52" t="str">
        <f t="shared" si="1"/>
        <v>SIM</v>
      </c>
      <c r="L54" s="31">
        <v>2021.0</v>
      </c>
      <c r="M54" s="31">
        <v>11.0</v>
      </c>
      <c r="N54" s="35"/>
      <c r="O54" s="38" t="s">
        <v>233</v>
      </c>
      <c r="P54" s="38" t="s">
        <v>234</v>
      </c>
      <c r="Q54" s="31">
        <v>18.0</v>
      </c>
      <c r="R54" s="31">
        <v>5.0</v>
      </c>
      <c r="S54" s="38" t="s">
        <v>446</v>
      </c>
      <c r="T54" s="38" t="s">
        <v>235</v>
      </c>
      <c r="U54" s="38" t="s">
        <v>77</v>
      </c>
      <c r="V54" s="19"/>
      <c r="W54" s="168" t="s">
        <v>236</v>
      </c>
      <c r="X54" s="19"/>
      <c r="Y54" s="38" t="s">
        <v>447</v>
      </c>
      <c r="Z54" s="31">
        <v>3.4706814E7</v>
      </c>
      <c r="AA54" s="50"/>
      <c r="AB54" s="5"/>
      <c r="AC54" s="5"/>
      <c r="AD54" s="5"/>
      <c r="AE54" s="5"/>
      <c r="AF54" s="5"/>
    </row>
    <row r="55" ht="22.5" customHeight="1">
      <c r="A55" s="64" t="s">
        <v>553</v>
      </c>
      <c r="B55" s="144" t="s">
        <v>417</v>
      </c>
      <c r="C55" s="58"/>
      <c r="D55" s="25" t="s">
        <v>418</v>
      </c>
      <c r="E55" s="28" t="s">
        <v>60</v>
      </c>
      <c r="F55" s="27" t="s">
        <v>62</v>
      </c>
      <c r="G55" s="30" t="s">
        <v>564</v>
      </c>
      <c r="H55" s="153" t="s">
        <v>60</v>
      </c>
      <c r="I55" s="153" t="s">
        <v>62</v>
      </c>
      <c r="J55" s="39"/>
      <c r="K55" s="52" t="str">
        <f t="shared" si="1"/>
        <v>SIM</v>
      </c>
      <c r="L55" s="53">
        <v>2022.0</v>
      </c>
      <c r="M55" s="39"/>
      <c r="N55" s="39"/>
      <c r="O55" s="56" t="s">
        <v>421</v>
      </c>
      <c r="P55" s="58"/>
      <c r="Q55" s="53">
        <v>10.0</v>
      </c>
      <c r="R55" s="53">
        <v>2.0</v>
      </c>
      <c r="S55" s="56" t="s">
        <v>422</v>
      </c>
      <c r="T55" s="56" t="s">
        <v>423</v>
      </c>
      <c r="U55" s="58"/>
      <c r="V55" s="58"/>
      <c r="W55" s="138"/>
      <c r="X55" s="58"/>
      <c r="Y55" s="58"/>
      <c r="Z55" s="39"/>
      <c r="AA55" s="79"/>
      <c r="AB55" s="5"/>
      <c r="AC55" s="5"/>
      <c r="AD55" s="5"/>
      <c r="AE55" s="5"/>
      <c r="AF55" s="5"/>
    </row>
    <row r="56" ht="22.5" customHeight="1">
      <c r="A56" s="14" t="s">
        <v>560</v>
      </c>
      <c r="B56" s="128" t="s">
        <v>237</v>
      </c>
      <c r="C56" s="54"/>
      <c r="D56" s="40" t="s">
        <v>238</v>
      </c>
      <c r="E56" s="42" t="s">
        <v>60</v>
      </c>
      <c r="F56" s="27" t="s">
        <v>62</v>
      </c>
      <c r="G56" s="66" t="s">
        <v>568</v>
      </c>
      <c r="H56" s="71" t="s">
        <v>60</v>
      </c>
      <c r="I56" s="72" t="s">
        <v>62</v>
      </c>
      <c r="J56" s="49"/>
      <c r="K56" s="52" t="str">
        <f t="shared" si="1"/>
        <v>SIM</v>
      </c>
      <c r="L56" s="47">
        <v>2019.0</v>
      </c>
      <c r="M56" s="47">
        <v>12.0</v>
      </c>
      <c r="N56" s="49"/>
      <c r="O56" s="57" t="s">
        <v>239</v>
      </c>
      <c r="P56" s="57" t="s">
        <v>240</v>
      </c>
      <c r="Q56" s="47">
        <v>70.0</v>
      </c>
      <c r="R56" s="47">
        <v>12.0</v>
      </c>
      <c r="S56" s="57" t="s">
        <v>242</v>
      </c>
      <c r="T56" s="57" t="s">
        <v>243</v>
      </c>
      <c r="U56" s="54"/>
      <c r="V56" s="54"/>
      <c r="W56" s="106"/>
      <c r="X56" s="54"/>
      <c r="Y56" s="54"/>
      <c r="Z56" s="49"/>
      <c r="AA56" s="62"/>
      <c r="AB56" s="5"/>
      <c r="AC56" s="5"/>
      <c r="AD56" s="5"/>
      <c r="AE56" s="5"/>
      <c r="AF56" s="5"/>
    </row>
    <row r="57" ht="22.5" customHeight="1">
      <c r="A57" s="64" t="s">
        <v>562</v>
      </c>
      <c r="B57" s="126" t="s">
        <v>251</v>
      </c>
      <c r="C57" s="58"/>
      <c r="D57" s="25" t="s">
        <v>252</v>
      </c>
      <c r="E57" s="28" t="s">
        <v>60</v>
      </c>
      <c r="F57" s="27" t="s">
        <v>62</v>
      </c>
      <c r="G57" s="30" t="s">
        <v>571</v>
      </c>
      <c r="H57" s="32" t="s">
        <v>60</v>
      </c>
      <c r="I57" s="36" t="s">
        <v>62</v>
      </c>
      <c r="J57" s="39"/>
      <c r="K57" s="52" t="str">
        <f t="shared" si="1"/>
        <v>SIM</v>
      </c>
      <c r="L57" s="53">
        <v>2019.0</v>
      </c>
      <c r="M57" s="53">
        <v>11.0</v>
      </c>
      <c r="N57" s="39"/>
      <c r="O57" s="56" t="s">
        <v>253</v>
      </c>
      <c r="P57" s="56" t="s">
        <v>254</v>
      </c>
      <c r="Q57" s="53">
        <v>41.0</v>
      </c>
      <c r="R57" s="53">
        <v>8.0</v>
      </c>
      <c r="S57" s="56" t="s">
        <v>256</v>
      </c>
      <c r="T57" s="56" t="s">
        <v>257</v>
      </c>
      <c r="U57" s="58"/>
      <c r="V57" s="58"/>
      <c r="W57" s="138"/>
      <c r="X57" s="58"/>
      <c r="Y57" s="58"/>
      <c r="Z57" s="39"/>
      <c r="AA57" s="79"/>
      <c r="AB57" s="5"/>
      <c r="AC57" s="5"/>
      <c r="AD57" s="5"/>
      <c r="AE57" s="5"/>
      <c r="AF57" s="5"/>
    </row>
    <row r="58" ht="22.5" customHeight="1">
      <c r="A58" s="14" t="s">
        <v>563</v>
      </c>
      <c r="B58" s="144" t="s">
        <v>483</v>
      </c>
      <c r="C58" s="58"/>
      <c r="D58" s="25" t="s">
        <v>484</v>
      </c>
      <c r="E58" s="28" t="s">
        <v>60</v>
      </c>
      <c r="F58" s="27" t="s">
        <v>62</v>
      </c>
      <c r="G58" s="30"/>
      <c r="H58" s="32" t="s">
        <v>60</v>
      </c>
      <c r="I58" s="36" t="s">
        <v>62</v>
      </c>
      <c r="J58" s="39"/>
      <c r="K58" s="52" t="str">
        <f t="shared" si="1"/>
        <v>SIM</v>
      </c>
      <c r="L58" s="53">
        <v>2022.0</v>
      </c>
      <c r="M58" s="53">
        <v>8.0</v>
      </c>
      <c r="N58" s="39"/>
      <c r="O58" s="56" t="s">
        <v>66</v>
      </c>
      <c r="P58" s="56" t="s">
        <v>67</v>
      </c>
      <c r="Q58" s="53">
        <v>24.0</v>
      </c>
      <c r="R58" s="53">
        <v>8.0</v>
      </c>
      <c r="S58" s="56" t="s">
        <v>489</v>
      </c>
      <c r="T58" s="56" t="s">
        <v>490</v>
      </c>
      <c r="U58" s="58"/>
      <c r="V58" s="58"/>
      <c r="W58" s="138"/>
      <c r="X58" s="58"/>
      <c r="Y58" s="58"/>
      <c r="Z58" s="39"/>
      <c r="AA58" s="79"/>
      <c r="AB58" s="5"/>
      <c r="AC58" s="5"/>
      <c r="AD58" s="5"/>
      <c r="AE58" s="5"/>
      <c r="AF58" s="5"/>
    </row>
    <row r="59" ht="22.5" customHeight="1">
      <c r="A59" s="64" t="s">
        <v>565</v>
      </c>
      <c r="B59" s="144" t="s">
        <v>514</v>
      </c>
      <c r="C59" s="58"/>
      <c r="D59" s="25" t="s">
        <v>515</v>
      </c>
      <c r="E59" s="28" t="s">
        <v>60</v>
      </c>
      <c r="F59" s="27" t="s">
        <v>62</v>
      </c>
      <c r="G59" s="30"/>
      <c r="H59" s="32" t="s">
        <v>60</v>
      </c>
      <c r="I59" s="36" t="s">
        <v>62</v>
      </c>
      <c r="J59" s="39"/>
      <c r="K59" s="52" t="str">
        <f t="shared" si="1"/>
        <v>SIM</v>
      </c>
      <c r="L59" s="53">
        <v>2024.0</v>
      </c>
      <c r="M59" s="53">
        <v>7.0</v>
      </c>
      <c r="N59" s="39"/>
      <c r="O59" s="56" t="s">
        <v>517</v>
      </c>
      <c r="P59" s="56" t="s">
        <v>518</v>
      </c>
      <c r="Q59" s="53">
        <v>34.0</v>
      </c>
      <c r="R59" s="53">
        <v>4.0</v>
      </c>
      <c r="S59" s="58"/>
      <c r="T59" s="56" t="s">
        <v>519</v>
      </c>
      <c r="U59" s="58"/>
      <c r="V59" s="58"/>
      <c r="W59" s="138"/>
      <c r="X59" s="58"/>
      <c r="Y59" s="58"/>
      <c r="Z59" s="39"/>
      <c r="AA59" s="79"/>
      <c r="AB59" s="5"/>
      <c r="AC59" s="5"/>
      <c r="AD59" s="5"/>
      <c r="AE59" s="5"/>
      <c r="AF59" s="5"/>
    </row>
    <row r="60" ht="22.5" customHeight="1">
      <c r="A60" s="14" t="s">
        <v>572</v>
      </c>
      <c r="B60" s="88" t="s">
        <v>566</v>
      </c>
      <c r="C60" s="19"/>
      <c r="D60" s="22" t="s">
        <v>567</v>
      </c>
      <c r="E60" s="24" t="s">
        <v>60</v>
      </c>
      <c r="F60" s="27" t="s">
        <v>62</v>
      </c>
      <c r="G60" s="29" t="s">
        <v>585</v>
      </c>
      <c r="H60" s="84" t="s">
        <v>60</v>
      </c>
      <c r="I60" s="85" t="s">
        <v>62</v>
      </c>
      <c r="J60" s="35"/>
      <c r="K60" s="52" t="str">
        <f t="shared" si="1"/>
        <v>SIM</v>
      </c>
      <c r="L60" s="31">
        <v>2024.0</v>
      </c>
      <c r="M60" s="35"/>
      <c r="N60" s="35"/>
      <c r="O60" s="38" t="s">
        <v>66</v>
      </c>
      <c r="P60" s="38" t="s">
        <v>67</v>
      </c>
      <c r="Q60" s="35"/>
      <c r="R60" s="35"/>
      <c r="S60" s="19"/>
      <c r="T60" s="38" t="s">
        <v>570</v>
      </c>
      <c r="U60" s="19"/>
      <c r="V60" s="19"/>
      <c r="W60" s="46"/>
      <c r="X60" s="19"/>
      <c r="Y60" s="19"/>
      <c r="Z60" s="35"/>
      <c r="AA60" s="50"/>
      <c r="AB60" s="5"/>
      <c r="AC60" s="5"/>
      <c r="AD60" s="5"/>
      <c r="AE60" s="5"/>
      <c r="AF60" s="5"/>
    </row>
    <row r="61" ht="22.5" customHeight="1">
      <c r="A61" s="64" t="s">
        <v>579</v>
      </c>
      <c r="B61" s="133" t="s">
        <v>573</v>
      </c>
      <c r="C61" s="103" t="s">
        <v>574</v>
      </c>
      <c r="D61" s="111" t="s">
        <v>574</v>
      </c>
      <c r="E61" s="112" t="s">
        <v>60</v>
      </c>
      <c r="F61" s="27" t="s">
        <v>62</v>
      </c>
      <c r="G61" s="121" t="s">
        <v>588</v>
      </c>
      <c r="H61" s="104" t="s">
        <v>60</v>
      </c>
      <c r="I61" s="105" t="s">
        <v>62</v>
      </c>
      <c r="J61" s="98"/>
      <c r="K61" s="52" t="str">
        <f t="shared" si="1"/>
        <v>SIM</v>
      </c>
      <c r="L61" s="97">
        <v>2024.0</v>
      </c>
      <c r="M61" s="98"/>
      <c r="N61" s="98"/>
      <c r="O61" s="93"/>
      <c r="P61" s="93"/>
      <c r="Q61" s="98"/>
      <c r="R61" s="98"/>
      <c r="S61" s="99" t="s">
        <v>576</v>
      </c>
      <c r="T61" s="99" t="s">
        <v>577</v>
      </c>
      <c r="U61" s="93"/>
      <c r="V61" s="99" t="s">
        <v>78</v>
      </c>
      <c r="W61" s="132" t="s">
        <v>80</v>
      </c>
      <c r="X61" s="93"/>
      <c r="Y61" s="99" t="s">
        <v>578</v>
      </c>
      <c r="Z61" s="98"/>
      <c r="AA61" s="102"/>
      <c r="AB61" s="5"/>
      <c r="AC61" s="5"/>
      <c r="AD61" s="5"/>
      <c r="AE61" s="5"/>
      <c r="AF61" s="5"/>
    </row>
    <row r="62" ht="22.5" customHeight="1">
      <c r="A62" s="14" t="s">
        <v>581</v>
      </c>
      <c r="B62" s="118" t="s">
        <v>285</v>
      </c>
      <c r="C62" s="33" t="s">
        <v>287</v>
      </c>
      <c r="D62" s="40" t="s">
        <v>287</v>
      </c>
      <c r="E62" s="42" t="s">
        <v>60</v>
      </c>
      <c r="F62" s="27" t="s">
        <v>62</v>
      </c>
      <c r="G62" s="66"/>
      <c r="H62" s="71" t="s">
        <v>60</v>
      </c>
      <c r="I62" s="72" t="s">
        <v>62</v>
      </c>
      <c r="J62" s="49"/>
      <c r="K62" s="52" t="str">
        <f t="shared" si="1"/>
        <v>SIM</v>
      </c>
      <c r="L62" s="47">
        <v>2020.0</v>
      </c>
      <c r="M62" s="47">
        <v>10.0</v>
      </c>
      <c r="N62" s="49"/>
      <c r="O62" s="57" t="s">
        <v>207</v>
      </c>
      <c r="P62" s="54"/>
      <c r="Q62" s="47">
        <v>4.0</v>
      </c>
      <c r="R62" s="49"/>
      <c r="S62" s="54"/>
      <c r="T62" s="57" t="s">
        <v>289</v>
      </c>
      <c r="U62" s="54"/>
      <c r="V62" s="57" t="s">
        <v>78</v>
      </c>
      <c r="W62" s="60" t="s">
        <v>80</v>
      </c>
      <c r="X62" s="54"/>
      <c r="Y62" s="57" t="s">
        <v>291</v>
      </c>
      <c r="Z62" s="49"/>
      <c r="AA62" s="62"/>
      <c r="AB62" s="5"/>
      <c r="AC62" s="5"/>
      <c r="AD62" s="5"/>
      <c r="AE62" s="5"/>
      <c r="AF62" s="5"/>
    </row>
    <row r="63" ht="22.5" customHeight="1">
      <c r="A63" s="64" t="s">
        <v>583</v>
      </c>
      <c r="B63" s="131" t="s">
        <v>148</v>
      </c>
      <c r="C63" s="93"/>
      <c r="D63" s="111" t="s">
        <v>150</v>
      </c>
      <c r="E63" s="112" t="s">
        <v>60</v>
      </c>
      <c r="F63" s="27" t="s">
        <v>62</v>
      </c>
      <c r="G63" s="121"/>
      <c r="H63" s="104" t="s">
        <v>60</v>
      </c>
      <c r="I63" s="105" t="s">
        <v>62</v>
      </c>
      <c r="J63" s="98"/>
      <c r="K63" s="52" t="str">
        <f t="shared" si="1"/>
        <v>SIM</v>
      </c>
      <c r="L63" s="97">
        <v>2017.0</v>
      </c>
      <c r="M63" s="98"/>
      <c r="N63" s="98"/>
      <c r="O63" s="99" t="s">
        <v>153</v>
      </c>
      <c r="P63" s="99" t="s">
        <v>154</v>
      </c>
      <c r="Q63" s="97">
        <v>24.0</v>
      </c>
      <c r="R63" s="97">
        <v>11.0</v>
      </c>
      <c r="S63" s="99" t="s">
        <v>156</v>
      </c>
      <c r="T63" s="99" t="s">
        <v>158</v>
      </c>
      <c r="U63" s="93"/>
      <c r="V63" s="93"/>
      <c r="W63" s="100"/>
      <c r="X63" s="93"/>
      <c r="Y63" s="93"/>
      <c r="Z63" s="98"/>
      <c r="AA63" s="102"/>
      <c r="AB63" s="5"/>
      <c r="AC63" s="5"/>
      <c r="AD63" s="5"/>
      <c r="AE63" s="5"/>
      <c r="AF63" s="5"/>
    </row>
    <row r="64" ht="22.5" customHeight="1">
      <c r="A64" s="14" t="s">
        <v>586</v>
      </c>
      <c r="B64" s="136" t="s">
        <v>299</v>
      </c>
      <c r="C64" s="107" t="s">
        <v>300</v>
      </c>
      <c r="D64" s="22" t="s">
        <v>302</v>
      </c>
      <c r="E64" s="24" t="s">
        <v>60</v>
      </c>
      <c r="F64" s="27" t="s">
        <v>62</v>
      </c>
      <c r="G64" s="29"/>
      <c r="H64" s="84" t="s">
        <v>60</v>
      </c>
      <c r="I64" s="85" t="s">
        <v>62</v>
      </c>
      <c r="J64" s="35"/>
      <c r="K64" s="52" t="str">
        <f t="shared" si="1"/>
        <v>SIM</v>
      </c>
      <c r="L64" s="31">
        <v>2020.0</v>
      </c>
      <c r="M64" s="31">
        <v>3.0</v>
      </c>
      <c r="N64" s="35"/>
      <c r="O64" s="38" t="s">
        <v>304</v>
      </c>
      <c r="P64" s="38" t="s">
        <v>305</v>
      </c>
      <c r="Q64" s="31">
        <v>66.0</v>
      </c>
      <c r="R64" s="31">
        <v>3.0</v>
      </c>
      <c r="S64" s="38" t="s">
        <v>306</v>
      </c>
      <c r="T64" s="38" t="s">
        <v>307</v>
      </c>
      <c r="U64" s="38" t="s">
        <v>77</v>
      </c>
      <c r="V64" s="19"/>
      <c r="W64" s="108" t="s">
        <v>143</v>
      </c>
      <c r="X64" s="19"/>
      <c r="Y64" s="38" t="s">
        <v>308</v>
      </c>
      <c r="Z64" s="31">
        <v>3.1690534E7</v>
      </c>
      <c r="AA64" s="50"/>
      <c r="AB64" s="5"/>
      <c r="AC64" s="5"/>
      <c r="AD64" s="5"/>
      <c r="AE64" s="5"/>
      <c r="AF64" s="5"/>
    </row>
    <row r="65" ht="22.5" customHeight="1">
      <c r="A65" s="64" t="s">
        <v>589</v>
      </c>
      <c r="B65" s="144" t="s">
        <v>426</v>
      </c>
      <c r="C65" s="58"/>
      <c r="D65" s="25" t="s">
        <v>428</v>
      </c>
      <c r="E65" s="28" t="s">
        <v>60</v>
      </c>
      <c r="F65" s="27" t="s">
        <v>62</v>
      </c>
      <c r="G65" s="30"/>
      <c r="H65" s="32" t="s">
        <v>60</v>
      </c>
      <c r="I65" s="36" t="s">
        <v>62</v>
      </c>
      <c r="J65" s="39"/>
      <c r="K65" s="52" t="str">
        <f t="shared" si="1"/>
        <v>SIM</v>
      </c>
      <c r="L65" s="53">
        <v>2022.0</v>
      </c>
      <c r="M65" s="53">
        <v>1.0</v>
      </c>
      <c r="N65" s="39"/>
      <c r="O65" s="56" t="s">
        <v>253</v>
      </c>
      <c r="P65" s="56" t="s">
        <v>254</v>
      </c>
      <c r="Q65" s="53">
        <v>44.0</v>
      </c>
      <c r="R65" s="53">
        <v>1.0</v>
      </c>
      <c r="S65" s="56" t="s">
        <v>429</v>
      </c>
      <c r="T65" s="56" t="s">
        <v>430</v>
      </c>
      <c r="U65" s="58"/>
      <c r="V65" s="58"/>
      <c r="W65" s="138"/>
      <c r="X65" s="58"/>
      <c r="Y65" s="58"/>
      <c r="Z65" s="39"/>
      <c r="AA65" s="79"/>
      <c r="AB65" s="5"/>
      <c r="AC65" s="5"/>
      <c r="AD65" s="5"/>
      <c r="AE65" s="5"/>
      <c r="AF65" s="5"/>
    </row>
    <row r="66" ht="22.5" customHeight="1">
      <c r="A66" s="14" t="s">
        <v>590</v>
      </c>
      <c r="B66" s="118" t="s">
        <v>169</v>
      </c>
      <c r="C66" s="54"/>
      <c r="D66" s="40" t="s">
        <v>171</v>
      </c>
      <c r="E66" s="42" t="s">
        <v>60</v>
      </c>
      <c r="F66" s="27" t="s">
        <v>62</v>
      </c>
      <c r="G66" s="66"/>
      <c r="H66" s="71" t="s">
        <v>60</v>
      </c>
      <c r="I66" s="72" t="s">
        <v>62</v>
      </c>
      <c r="J66" s="49"/>
      <c r="K66" s="52" t="str">
        <f t="shared" si="1"/>
        <v>SIM</v>
      </c>
      <c r="L66" s="47">
        <v>2017.0</v>
      </c>
      <c r="M66" s="49"/>
      <c r="N66" s="49"/>
      <c r="O66" s="57" t="s">
        <v>174</v>
      </c>
      <c r="P66" s="57" t="s">
        <v>175</v>
      </c>
      <c r="Q66" s="47">
        <v>11.0</v>
      </c>
      <c r="R66" s="47">
        <v>2.0</v>
      </c>
      <c r="S66" s="57" t="s">
        <v>177</v>
      </c>
      <c r="T66" s="57" t="s">
        <v>179</v>
      </c>
      <c r="U66" s="54"/>
      <c r="V66" s="54"/>
      <c r="W66" s="106"/>
      <c r="X66" s="54"/>
      <c r="Y66" s="54"/>
      <c r="Z66" s="49"/>
      <c r="AA66" s="62"/>
      <c r="AB66" s="5"/>
      <c r="AC66" s="5"/>
      <c r="AD66" s="5"/>
      <c r="AE66" s="5"/>
      <c r="AF66" s="5"/>
    </row>
    <row r="67" ht="22.5" customHeight="1">
      <c r="A67" s="64" t="s">
        <v>591</v>
      </c>
      <c r="B67" s="136" t="s">
        <v>524</v>
      </c>
      <c r="C67" s="81"/>
      <c r="D67" s="82" t="s">
        <v>525</v>
      </c>
      <c r="E67" s="83" t="s">
        <v>60</v>
      </c>
      <c r="F67" s="27" t="s">
        <v>62</v>
      </c>
      <c r="G67" s="29"/>
      <c r="H67" s="84" t="s">
        <v>60</v>
      </c>
      <c r="I67" s="85" t="s">
        <v>62</v>
      </c>
      <c r="J67" s="35"/>
      <c r="K67" s="52" t="str">
        <f t="shared" si="1"/>
        <v>SIM</v>
      </c>
      <c r="L67" s="86">
        <v>2024.0</v>
      </c>
      <c r="M67" s="87"/>
      <c r="N67" s="87"/>
      <c r="O67" s="88" t="s">
        <v>526</v>
      </c>
      <c r="P67" s="88" t="s">
        <v>527</v>
      </c>
      <c r="Q67" s="87"/>
      <c r="R67" s="87"/>
      <c r="S67" s="81"/>
      <c r="T67" s="88" t="s">
        <v>528</v>
      </c>
      <c r="U67" s="81"/>
      <c r="V67" s="81"/>
      <c r="W67" s="89"/>
      <c r="X67" s="81"/>
      <c r="Y67" s="81"/>
      <c r="Z67" s="87"/>
      <c r="AA67" s="90"/>
      <c r="AB67" s="5"/>
      <c r="AC67" s="5"/>
      <c r="AD67" s="5"/>
      <c r="AE67" s="5"/>
      <c r="AF67" s="5"/>
    </row>
    <row r="68" ht="22.5" customHeight="1">
      <c r="A68" s="14" t="s">
        <v>593</v>
      </c>
      <c r="B68" s="118" t="s">
        <v>384</v>
      </c>
      <c r="C68" s="54"/>
      <c r="D68" s="40" t="s">
        <v>385</v>
      </c>
      <c r="E68" s="42" t="s">
        <v>60</v>
      </c>
      <c r="F68" s="27" t="s">
        <v>62</v>
      </c>
      <c r="G68" s="66"/>
      <c r="H68" s="71" t="s">
        <v>60</v>
      </c>
      <c r="I68" s="72" t="s">
        <v>62</v>
      </c>
      <c r="J68" s="49"/>
      <c r="K68" s="52" t="str">
        <f t="shared" si="1"/>
        <v>SIM</v>
      </c>
      <c r="L68" s="47">
        <v>2021.0</v>
      </c>
      <c r="M68" s="47">
        <v>4.0</v>
      </c>
      <c r="N68" s="49"/>
      <c r="O68" s="57" t="s">
        <v>184</v>
      </c>
      <c r="P68" s="57" t="s">
        <v>185</v>
      </c>
      <c r="Q68" s="47">
        <v>21.0</v>
      </c>
      <c r="R68" s="47">
        <v>3.0</v>
      </c>
      <c r="S68" s="57" t="s">
        <v>386</v>
      </c>
      <c r="T68" s="57" t="s">
        <v>387</v>
      </c>
      <c r="U68" s="54"/>
      <c r="V68" s="54"/>
      <c r="W68" s="106"/>
      <c r="X68" s="54"/>
      <c r="Y68" s="54"/>
      <c r="Z68" s="49"/>
      <c r="AA68" s="62"/>
      <c r="AB68" s="5"/>
      <c r="AC68" s="5"/>
      <c r="AD68" s="5"/>
      <c r="AE68" s="5"/>
      <c r="AF68" s="5"/>
    </row>
    <row r="69" ht="22.5" customHeight="1">
      <c r="A69" s="64" t="s">
        <v>595</v>
      </c>
      <c r="B69" s="144" t="s">
        <v>377</v>
      </c>
      <c r="C69" s="58"/>
      <c r="D69" s="25" t="s">
        <v>378</v>
      </c>
      <c r="E69" s="28" t="s">
        <v>60</v>
      </c>
      <c r="F69" s="27" t="s">
        <v>62</v>
      </c>
      <c r="G69" s="30" t="s">
        <v>602</v>
      </c>
      <c r="H69" s="32" t="s">
        <v>60</v>
      </c>
      <c r="I69" s="36" t="s">
        <v>62</v>
      </c>
      <c r="J69" s="39"/>
      <c r="K69" s="52" t="str">
        <f t="shared" si="1"/>
        <v>SIM</v>
      </c>
      <c r="L69" s="53">
        <v>2020.0</v>
      </c>
      <c r="M69" s="39"/>
      <c r="N69" s="39"/>
      <c r="O69" s="56" t="s">
        <v>379</v>
      </c>
      <c r="P69" s="56" t="s">
        <v>380</v>
      </c>
      <c r="Q69" s="53">
        <v>36.0</v>
      </c>
      <c r="R69" s="53">
        <v>1.0</v>
      </c>
      <c r="S69" s="56" t="s">
        <v>381</v>
      </c>
      <c r="T69" s="56" t="s">
        <v>382</v>
      </c>
      <c r="U69" s="58"/>
      <c r="V69" s="58"/>
      <c r="W69" s="138"/>
      <c r="X69" s="58"/>
      <c r="Y69" s="58"/>
      <c r="Z69" s="39"/>
      <c r="AA69" s="79"/>
      <c r="AB69" s="5"/>
      <c r="AC69" s="5"/>
      <c r="AD69" s="5"/>
      <c r="AE69" s="5"/>
      <c r="AF69" s="5"/>
    </row>
    <row r="70" ht="22.5" customHeight="1">
      <c r="A70" s="14" t="s">
        <v>596</v>
      </c>
      <c r="B70" s="126" t="s">
        <v>391</v>
      </c>
      <c r="C70" s="170" t="s">
        <v>392</v>
      </c>
      <c r="D70" s="171" t="s">
        <v>393</v>
      </c>
      <c r="E70" s="172" t="s">
        <v>60</v>
      </c>
      <c r="F70" s="27" t="s">
        <v>62</v>
      </c>
      <c r="G70" s="173"/>
      <c r="H70" s="32" t="s">
        <v>60</v>
      </c>
      <c r="I70" s="36" t="s">
        <v>62</v>
      </c>
      <c r="J70" s="39"/>
      <c r="K70" s="52" t="str">
        <f t="shared" si="1"/>
        <v>SIM</v>
      </c>
      <c r="L70" s="174">
        <v>2021.0</v>
      </c>
      <c r="M70" s="174">
        <v>3.0</v>
      </c>
      <c r="N70" s="174">
        <v>12.0</v>
      </c>
      <c r="O70" s="175" t="s">
        <v>394</v>
      </c>
      <c r="P70" s="175" t="s">
        <v>395</v>
      </c>
      <c r="Q70" s="174">
        <v>36.0</v>
      </c>
      <c r="R70" s="174">
        <v>1.0</v>
      </c>
      <c r="S70" s="175" t="s">
        <v>396</v>
      </c>
      <c r="T70" s="175" t="s">
        <v>397</v>
      </c>
      <c r="U70" s="175" t="s">
        <v>77</v>
      </c>
      <c r="V70" s="58"/>
      <c r="W70" s="176" t="s">
        <v>398</v>
      </c>
      <c r="X70" s="58"/>
      <c r="Y70" s="175" t="s">
        <v>399</v>
      </c>
      <c r="Z70" s="174">
        <v>3.2577721E7</v>
      </c>
      <c r="AA70" s="79"/>
      <c r="AB70" s="5"/>
      <c r="AC70" s="5"/>
      <c r="AD70" s="5"/>
      <c r="AE70" s="5"/>
      <c r="AF70" s="5"/>
    </row>
    <row r="71" ht="22.5" customHeight="1">
      <c r="A71" s="64" t="s">
        <v>598</v>
      </c>
      <c r="B71" s="133" t="s">
        <v>506</v>
      </c>
      <c r="C71" s="93"/>
      <c r="D71" s="111" t="s">
        <v>508</v>
      </c>
      <c r="E71" s="112" t="s">
        <v>60</v>
      </c>
      <c r="F71" s="27" t="s">
        <v>62</v>
      </c>
      <c r="G71" s="121"/>
      <c r="H71" s="104" t="s">
        <v>60</v>
      </c>
      <c r="I71" s="105" t="s">
        <v>62</v>
      </c>
      <c r="J71" s="98"/>
      <c r="K71" s="52" t="str">
        <f t="shared" si="1"/>
        <v>SIM</v>
      </c>
      <c r="L71" s="97">
        <v>2022.0</v>
      </c>
      <c r="M71" s="97">
        <v>9.0</v>
      </c>
      <c r="N71" s="98"/>
      <c r="O71" s="99" t="s">
        <v>510</v>
      </c>
      <c r="P71" s="99" t="s">
        <v>511</v>
      </c>
      <c r="Q71" s="97">
        <v>25.0</v>
      </c>
      <c r="R71" s="97">
        <v>12.0</v>
      </c>
      <c r="S71" s="99" t="s">
        <v>512</v>
      </c>
      <c r="T71" s="99" t="s">
        <v>513</v>
      </c>
      <c r="U71" s="93"/>
      <c r="V71" s="93"/>
      <c r="W71" s="100"/>
      <c r="X71" s="93"/>
      <c r="Y71" s="93"/>
      <c r="Z71" s="98"/>
      <c r="AA71" s="102"/>
      <c r="AB71" s="5"/>
      <c r="AC71" s="5"/>
      <c r="AD71" s="5"/>
      <c r="AE71" s="5"/>
      <c r="AF71" s="5"/>
    </row>
    <row r="72" ht="22.5" customHeight="1">
      <c r="A72" s="14" t="s">
        <v>600</v>
      </c>
      <c r="B72" s="128" t="s">
        <v>532</v>
      </c>
      <c r="C72" s="33" t="s">
        <v>533</v>
      </c>
      <c r="D72" s="40" t="s">
        <v>533</v>
      </c>
      <c r="E72" s="42" t="s">
        <v>60</v>
      </c>
      <c r="F72" s="27" t="s">
        <v>62</v>
      </c>
      <c r="G72" s="66" t="s">
        <v>603</v>
      </c>
      <c r="H72" s="71" t="s">
        <v>60</v>
      </c>
      <c r="I72" s="72" t="s">
        <v>62</v>
      </c>
      <c r="J72" s="49"/>
      <c r="K72" s="52" t="str">
        <f t="shared" si="1"/>
        <v>SIM</v>
      </c>
      <c r="L72" s="47">
        <v>2024.0</v>
      </c>
      <c r="M72" s="47">
        <v>4.0</v>
      </c>
      <c r="N72" s="49"/>
      <c r="O72" s="57" t="s">
        <v>207</v>
      </c>
      <c r="P72" s="54"/>
      <c r="Q72" s="47">
        <v>8.0</v>
      </c>
      <c r="R72" s="49"/>
      <c r="S72" s="54"/>
      <c r="T72" s="57" t="s">
        <v>535</v>
      </c>
      <c r="U72" s="54"/>
      <c r="V72" s="57" t="s">
        <v>78</v>
      </c>
      <c r="W72" s="60" t="s">
        <v>80</v>
      </c>
      <c r="X72" s="54"/>
      <c r="Y72" s="57" t="s">
        <v>536</v>
      </c>
      <c r="Z72" s="49"/>
      <c r="AA72" s="62"/>
      <c r="AB72" s="5"/>
      <c r="AC72" s="5"/>
      <c r="AD72" s="5"/>
      <c r="AE72" s="5"/>
      <c r="AF72" s="5"/>
    </row>
    <row r="73" ht="22.5" customHeight="1">
      <c r="A73" s="64" t="s">
        <v>601</v>
      </c>
      <c r="B73" s="88" t="s">
        <v>294</v>
      </c>
      <c r="C73" s="19"/>
      <c r="D73" s="22" t="s">
        <v>295</v>
      </c>
      <c r="E73" s="24" t="s">
        <v>60</v>
      </c>
      <c r="F73" s="27" t="s">
        <v>62</v>
      </c>
      <c r="G73" s="29"/>
      <c r="H73" s="177" t="s">
        <v>60</v>
      </c>
      <c r="I73" s="177" t="s">
        <v>62</v>
      </c>
      <c r="J73" s="35"/>
      <c r="K73" s="52" t="str">
        <f t="shared" si="1"/>
        <v>SIM</v>
      </c>
      <c r="L73" s="31">
        <v>2019.0</v>
      </c>
      <c r="M73" s="31">
        <v>4.0</v>
      </c>
      <c r="N73" s="35"/>
      <c r="O73" s="38" t="s">
        <v>129</v>
      </c>
      <c r="P73" s="38" t="s">
        <v>130</v>
      </c>
      <c r="Q73" s="31">
        <v>93.0</v>
      </c>
      <c r="R73" s="35"/>
      <c r="S73" s="38" t="s">
        <v>297</v>
      </c>
      <c r="T73" s="38" t="s">
        <v>298</v>
      </c>
      <c r="U73" s="19"/>
      <c r="V73" s="19"/>
      <c r="W73" s="46"/>
      <c r="X73" s="19"/>
      <c r="Y73" s="19"/>
      <c r="Z73" s="35"/>
      <c r="AA73" s="50"/>
      <c r="AB73" s="5"/>
      <c r="AC73" s="5"/>
      <c r="AD73" s="5"/>
      <c r="AE73" s="5"/>
      <c r="AF73" s="5"/>
    </row>
    <row r="74">
      <c r="A74" s="5"/>
      <c r="B74" s="122"/>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A75" s="5"/>
      <c r="B75" s="122"/>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A76" s="5"/>
      <c r="B76" s="122"/>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A77" s="5"/>
      <c r="B77" s="122"/>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A78" s="5"/>
      <c r="B78" s="122"/>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A79" s="5"/>
      <c r="B79" s="122"/>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A80" s="5"/>
      <c r="B80" s="122"/>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A81" s="5"/>
      <c r="B81" s="122"/>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A82" s="5"/>
      <c r="B82" s="122"/>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A83" s="5"/>
      <c r="B83" s="122"/>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A84" s="5"/>
      <c r="B84" s="122"/>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A85" s="5"/>
      <c r="B85" s="122"/>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A86" s="5"/>
      <c r="B86" s="122"/>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A87" s="5"/>
      <c r="B87" s="122"/>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A88" s="5"/>
      <c r="B88" s="122"/>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A89" s="5"/>
      <c r="B89" s="122"/>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A90" s="5"/>
      <c r="B90" s="122"/>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A91" s="5"/>
      <c r="B91" s="122"/>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A92" s="5"/>
      <c r="B92" s="122"/>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A93" s="5"/>
      <c r="B93" s="122"/>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A94" s="5"/>
      <c r="B94" s="122"/>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A95" s="5"/>
      <c r="B95" s="122"/>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A96" s="5"/>
      <c r="B96" s="122"/>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A97" s="5"/>
      <c r="B97" s="122"/>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A98" s="5"/>
      <c r="B98" s="122"/>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A99" s="5"/>
      <c r="B99" s="122"/>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A100" s="5"/>
      <c r="B100" s="122"/>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A101" s="5"/>
      <c r="B101" s="122"/>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A102" s="5"/>
      <c r="B102" s="122"/>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A103" s="5"/>
      <c r="B103" s="122"/>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A104" s="5"/>
      <c r="B104" s="122"/>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A105" s="5"/>
      <c r="B105" s="122"/>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A106" s="5"/>
      <c r="B106" s="122"/>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A107" s="5"/>
      <c r="B107" s="122"/>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A108" s="5"/>
      <c r="B108" s="122"/>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A109" s="5"/>
      <c r="B109" s="122"/>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A110" s="5"/>
      <c r="B110" s="122"/>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A111" s="5"/>
      <c r="B111" s="122"/>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A112" s="5"/>
      <c r="B112" s="122"/>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A113" s="5"/>
      <c r="B113" s="122"/>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A114" s="5"/>
      <c r="B114" s="122"/>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A115" s="5"/>
      <c r="B115" s="122"/>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A116" s="5"/>
      <c r="B116" s="122"/>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A117" s="5"/>
      <c r="B117" s="122"/>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A118" s="5"/>
      <c r="B118" s="122"/>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A119" s="5"/>
      <c r="B119" s="122"/>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A120" s="5"/>
      <c r="B120" s="122"/>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A121" s="5"/>
      <c r="B121" s="122"/>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A122" s="5"/>
      <c r="B122" s="122"/>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A123" s="5"/>
      <c r="B123" s="122"/>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A124" s="5"/>
      <c r="B124" s="122"/>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A125" s="5"/>
      <c r="B125" s="122"/>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A126" s="5"/>
      <c r="B126" s="122"/>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A127" s="5"/>
      <c r="B127" s="122"/>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A128" s="5"/>
      <c r="B128" s="122"/>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A129" s="5"/>
      <c r="B129" s="122"/>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A130" s="5"/>
      <c r="B130" s="122"/>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A131" s="5"/>
      <c r="B131" s="122"/>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A132" s="5"/>
      <c r="B132" s="122"/>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A133" s="5"/>
      <c r="B133" s="122"/>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A134" s="5"/>
      <c r="B134" s="122"/>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A135" s="5"/>
      <c r="B135" s="122"/>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A136" s="5"/>
      <c r="B136" s="122"/>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A137" s="5"/>
      <c r="B137" s="122"/>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A138" s="5"/>
      <c r="B138" s="122"/>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A139" s="5"/>
      <c r="B139" s="122"/>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A140" s="5"/>
      <c r="B140" s="122"/>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A141" s="5"/>
      <c r="B141" s="122"/>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A142" s="5"/>
      <c r="B142" s="122"/>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A143" s="5"/>
      <c r="B143" s="122"/>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A144" s="5"/>
      <c r="B144" s="122"/>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A145" s="5"/>
      <c r="B145" s="122"/>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A146" s="5"/>
      <c r="B146" s="122"/>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A147" s="5"/>
      <c r="B147" s="122"/>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A148" s="5"/>
      <c r="B148" s="122"/>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A149" s="5"/>
      <c r="B149" s="122"/>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A150" s="5"/>
      <c r="B150" s="122"/>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A151" s="5"/>
      <c r="B151" s="122"/>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A152" s="5"/>
      <c r="B152" s="122"/>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A153" s="5"/>
      <c r="B153" s="122"/>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A154" s="5"/>
      <c r="B154" s="122"/>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A155" s="5"/>
      <c r="B155" s="122"/>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A156" s="5"/>
      <c r="B156" s="122"/>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A157" s="5"/>
      <c r="B157" s="122"/>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A158" s="5"/>
      <c r="B158" s="122"/>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A159" s="5"/>
      <c r="B159" s="122"/>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A160" s="5"/>
      <c r="B160" s="122"/>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A161" s="5"/>
      <c r="B161" s="122"/>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A162" s="5"/>
      <c r="B162" s="122"/>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A163" s="5"/>
      <c r="B163" s="122"/>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A164" s="5"/>
      <c r="B164" s="122"/>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A165" s="5"/>
      <c r="B165" s="122"/>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A166" s="5"/>
      <c r="B166" s="122"/>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A167" s="5"/>
      <c r="B167" s="122"/>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A168" s="5"/>
      <c r="B168" s="122"/>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A169" s="5"/>
      <c r="B169" s="122"/>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A170" s="5"/>
      <c r="B170" s="122"/>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A171" s="5"/>
      <c r="B171" s="122"/>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A172" s="5"/>
      <c r="B172" s="122"/>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A173" s="5"/>
      <c r="B173" s="122"/>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A174" s="5"/>
      <c r="B174" s="122"/>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A175" s="5"/>
      <c r="B175" s="122"/>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A176" s="5"/>
      <c r="B176" s="122"/>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A177" s="5"/>
      <c r="B177" s="122"/>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A178" s="5"/>
      <c r="B178" s="122"/>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A179" s="5"/>
      <c r="B179" s="122"/>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A180" s="5"/>
      <c r="B180" s="122"/>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A181" s="5"/>
      <c r="B181" s="122"/>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A182" s="5"/>
      <c r="B182" s="122"/>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A183" s="5"/>
      <c r="B183" s="122"/>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A184" s="5"/>
      <c r="B184" s="122"/>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A185" s="5"/>
      <c r="B185" s="122"/>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A186" s="5"/>
      <c r="B186" s="122"/>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A187" s="5"/>
      <c r="B187" s="122"/>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A188" s="5"/>
      <c r="B188" s="122"/>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A189" s="5"/>
      <c r="B189" s="122"/>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A190" s="5"/>
      <c r="B190" s="122"/>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A191" s="5"/>
      <c r="B191" s="122"/>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A192" s="5"/>
      <c r="B192" s="122"/>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A193" s="5"/>
      <c r="B193" s="122"/>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A194" s="5"/>
      <c r="B194" s="122"/>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A195" s="5"/>
      <c r="B195" s="122"/>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A196" s="5"/>
      <c r="B196" s="122"/>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A197" s="5"/>
      <c r="B197" s="122"/>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A198" s="5"/>
      <c r="B198" s="122"/>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A199" s="5"/>
      <c r="B199" s="122"/>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A200" s="5"/>
      <c r="B200" s="122"/>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A201" s="5"/>
      <c r="B201" s="122"/>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A202" s="5"/>
      <c r="B202" s="122"/>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A203" s="5"/>
      <c r="B203" s="122"/>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A204" s="5"/>
      <c r="B204" s="122"/>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A205" s="5"/>
      <c r="B205" s="122"/>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A206" s="5"/>
      <c r="B206" s="122"/>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A207" s="5"/>
      <c r="B207" s="122"/>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A208" s="5"/>
      <c r="B208" s="122"/>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A209" s="5"/>
      <c r="B209" s="122"/>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A210" s="5"/>
      <c r="B210" s="122"/>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A211" s="5"/>
      <c r="B211" s="122"/>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A212" s="5"/>
      <c r="B212" s="122"/>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A213" s="5"/>
      <c r="B213" s="122"/>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A214" s="5"/>
      <c r="B214" s="122"/>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A215" s="5"/>
      <c r="B215" s="122"/>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A216" s="5"/>
      <c r="B216" s="122"/>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A217" s="5"/>
      <c r="B217" s="122"/>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A218" s="5"/>
      <c r="B218" s="122"/>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A219" s="5"/>
      <c r="B219" s="122"/>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A220" s="5"/>
      <c r="B220" s="122"/>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A221" s="5"/>
      <c r="B221" s="122"/>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A222" s="5"/>
      <c r="B222" s="122"/>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A223" s="5"/>
      <c r="B223" s="122"/>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A224" s="5"/>
      <c r="B224" s="122"/>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A225" s="5"/>
      <c r="B225" s="122"/>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A226" s="5"/>
      <c r="B226" s="122"/>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A227" s="5"/>
      <c r="B227" s="122"/>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A228" s="5"/>
      <c r="B228" s="122"/>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A229" s="5"/>
      <c r="B229" s="122"/>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A230" s="5"/>
      <c r="B230" s="122"/>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A231" s="5"/>
      <c r="B231" s="122"/>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A232" s="5"/>
      <c r="B232" s="122"/>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A233" s="5"/>
      <c r="B233" s="122"/>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A234" s="5"/>
      <c r="B234" s="122"/>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A235" s="5"/>
      <c r="B235" s="122"/>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A236" s="5"/>
      <c r="B236" s="122"/>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A237" s="5"/>
      <c r="B237" s="122"/>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A238" s="5"/>
      <c r="B238" s="122"/>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A239" s="5"/>
      <c r="B239" s="122"/>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A240" s="5"/>
      <c r="B240" s="122"/>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A241" s="5"/>
      <c r="B241" s="122"/>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A242" s="5"/>
      <c r="B242" s="122"/>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A243" s="5"/>
      <c r="B243" s="122"/>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A244" s="5"/>
      <c r="B244" s="122"/>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A245" s="5"/>
      <c r="B245" s="122"/>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A246" s="5"/>
      <c r="B246" s="122"/>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A247" s="5"/>
      <c r="B247" s="122"/>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A248" s="5"/>
      <c r="B248" s="122"/>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A249" s="5"/>
      <c r="B249" s="122"/>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A250" s="5"/>
      <c r="B250" s="122"/>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A251" s="5"/>
      <c r="B251" s="122"/>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A252" s="5"/>
      <c r="B252" s="122"/>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A253" s="5"/>
      <c r="B253" s="122"/>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A254" s="5"/>
      <c r="B254" s="122"/>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A255" s="5"/>
      <c r="B255" s="122"/>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A256" s="5"/>
      <c r="B256" s="122"/>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A257" s="5"/>
      <c r="B257" s="122"/>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A258" s="5"/>
      <c r="B258" s="122"/>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A259" s="5"/>
      <c r="B259" s="122"/>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A260" s="5"/>
      <c r="B260" s="122"/>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A261" s="5"/>
      <c r="B261" s="122"/>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A262" s="5"/>
      <c r="B262" s="122"/>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A263" s="5"/>
      <c r="B263" s="122"/>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A264" s="5"/>
      <c r="B264" s="122"/>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A265" s="5"/>
      <c r="B265" s="122"/>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A266" s="5"/>
      <c r="B266" s="122"/>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A267" s="5"/>
      <c r="B267" s="122"/>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A268" s="5"/>
      <c r="B268" s="122"/>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A269" s="5"/>
      <c r="B269" s="122"/>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A270" s="5"/>
      <c r="B270" s="122"/>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A271" s="5"/>
      <c r="B271" s="122"/>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A272" s="5"/>
      <c r="B272" s="122"/>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A273" s="5"/>
      <c r="B273" s="122"/>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A274" s="5"/>
      <c r="B274" s="122"/>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A275" s="5"/>
      <c r="B275" s="122"/>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A276" s="5"/>
      <c r="B276" s="122"/>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A277" s="5"/>
      <c r="B277" s="122"/>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A278" s="5"/>
      <c r="B278" s="122"/>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A279" s="5"/>
      <c r="B279" s="122"/>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A280" s="5"/>
      <c r="B280" s="122"/>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A281" s="5"/>
      <c r="B281" s="122"/>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A282" s="5"/>
      <c r="B282" s="122"/>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A283" s="5"/>
      <c r="B283" s="122"/>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A284" s="5"/>
      <c r="B284" s="122"/>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A285" s="5"/>
      <c r="B285" s="122"/>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A286" s="5"/>
      <c r="B286" s="122"/>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A287" s="5"/>
      <c r="B287" s="122"/>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A288" s="5"/>
      <c r="B288" s="122"/>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A289" s="5"/>
      <c r="B289" s="122"/>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A290" s="5"/>
      <c r="B290" s="122"/>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A291" s="5"/>
      <c r="B291" s="122"/>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A292" s="5"/>
      <c r="B292" s="122"/>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A293" s="5"/>
      <c r="B293" s="122"/>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A294" s="5"/>
      <c r="B294" s="122"/>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A295" s="5"/>
      <c r="B295" s="122"/>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A296" s="5"/>
      <c r="B296" s="122"/>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A297" s="5"/>
      <c r="B297" s="122"/>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A298" s="5"/>
      <c r="B298" s="122"/>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A299" s="5"/>
      <c r="B299" s="122"/>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A300" s="5"/>
      <c r="B300" s="122"/>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A301" s="5"/>
      <c r="B301" s="122"/>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A302" s="5"/>
      <c r="B302" s="122"/>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A303" s="5"/>
      <c r="B303" s="122"/>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A304" s="5"/>
      <c r="B304" s="122"/>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A305" s="5"/>
      <c r="B305" s="122"/>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A306" s="5"/>
      <c r="B306" s="122"/>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A307" s="5"/>
      <c r="B307" s="122"/>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A308" s="5"/>
      <c r="B308" s="122"/>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A309" s="5"/>
      <c r="B309" s="122"/>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A310" s="5"/>
      <c r="B310" s="122"/>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A311" s="5"/>
      <c r="B311" s="122"/>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A312" s="5"/>
      <c r="B312" s="122"/>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A313" s="5"/>
      <c r="B313" s="122"/>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A314" s="5"/>
      <c r="B314" s="122"/>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A315" s="5"/>
      <c r="B315" s="122"/>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A316" s="5"/>
      <c r="B316" s="122"/>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A317" s="5"/>
      <c r="B317" s="122"/>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A318" s="5"/>
      <c r="B318" s="122"/>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A319" s="5"/>
      <c r="B319" s="122"/>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A320" s="5"/>
      <c r="B320" s="122"/>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A321" s="5"/>
      <c r="B321" s="122"/>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A322" s="5"/>
      <c r="B322" s="122"/>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A323" s="5"/>
      <c r="B323" s="122"/>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A324" s="5"/>
      <c r="B324" s="122"/>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A325" s="5"/>
      <c r="B325" s="122"/>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A326" s="5"/>
      <c r="B326" s="122"/>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A327" s="5"/>
      <c r="B327" s="122"/>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A328" s="5"/>
      <c r="B328" s="122"/>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A329" s="5"/>
      <c r="B329" s="122"/>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A330" s="5"/>
      <c r="B330" s="122"/>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A331" s="5"/>
      <c r="B331" s="122"/>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A332" s="5"/>
      <c r="B332" s="122"/>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A333" s="5"/>
      <c r="B333" s="122"/>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A334" s="5"/>
      <c r="B334" s="122"/>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A335" s="5"/>
      <c r="B335" s="122"/>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A336" s="5"/>
      <c r="B336" s="122"/>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A337" s="5"/>
      <c r="B337" s="122"/>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A338" s="5"/>
      <c r="B338" s="122"/>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A339" s="5"/>
      <c r="B339" s="122"/>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A340" s="5"/>
      <c r="B340" s="122"/>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A341" s="5"/>
      <c r="B341" s="122"/>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A342" s="5"/>
      <c r="B342" s="122"/>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A343" s="5"/>
      <c r="B343" s="122"/>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A344" s="5"/>
      <c r="B344" s="122"/>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A345" s="5"/>
      <c r="B345" s="122"/>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A346" s="5"/>
      <c r="B346" s="122"/>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A347" s="5"/>
      <c r="B347" s="122"/>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A348" s="5"/>
      <c r="B348" s="122"/>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A349" s="5"/>
      <c r="B349" s="122"/>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A350" s="5"/>
      <c r="B350" s="122"/>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A351" s="5"/>
      <c r="B351" s="122"/>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A352" s="5"/>
      <c r="B352" s="122"/>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A353" s="5"/>
      <c r="B353" s="122"/>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A354" s="5"/>
      <c r="B354" s="122"/>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A355" s="5"/>
      <c r="B355" s="122"/>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A356" s="5"/>
      <c r="B356" s="122"/>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A357" s="5"/>
      <c r="B357" s="122"/>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A358" s="5"/>
      <c r="B358" s="122"/>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A359" s="5"/>
      <c r="B359" s="122"/>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A360" s="5"/>
      <c r="B360" s="122"/>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A361" s="5"/>
      <c r="B361" s="122"/>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A362" s="5"/>
      <c r="B362" s="122"/>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A363" s="5"/>
      <c r="B363" s="122"/>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A364" s="5"/>
      <c r="B364" s="122"/>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A365" s="5"/>
      <c r="B365" s="122"/>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A366" s="5"/>
      <c r="B366" s="122"/>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A367" s="5"/>
      <c r="B367" s="122"/>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A368" s="5"/>
      <c r="B368" s="122"/>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A369" s="5"/>
      <c r="B369" s="122"/>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A370" s="5"/>
      <c r="B370" s="122"/>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A371" s="5"/>
      <c r="B371" s="122"/>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A372" s="5"/>
      <c r="B372" s="122"/>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A373" s="5"/>
      <c r="B373" s="122"/>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A374" s="5"/>
      <c r="B374" s="122"/>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A375" s="5"/>
      <c r="B375" s="122"/>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A376" s="5"/>
      <c r="B376" s="122"/>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A377" s="5"/>
      <c r="B377" s="122"/>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A378" s="5"/>
      <c r="B378" s="122"/>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A379" s="5"/>
      <c r="B379" s="122"/>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A380" s="5"/>
      <c r="B380" s="122"/>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A381" s="5"/>
      <c r="B381" s="122"/>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A382" s="5"/>
      <c r="B382" s="122"/>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A383" s="5"/>
      <c r="B383" s="122"/>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A384" s="5"/>
      <c r="B384" s="122"/>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A385" s="5"/>
      <c r="B385" s="122"/>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A386" s="5"/>
      <c r="B386" s="122"/>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A387" s="5"/>
      <c r="B387" s="122"/>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A388" s="5"/>
      <c r="B388" s="122"/>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A389" s="5"/>
      <c r="B389" s="122"/>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A390" s="5"/>
      <c r="B390" s="122"/>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A391" s="5"/>
      <c r="B391" s="122"/>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A392" s="5"/>
      <c r="B392" s="122"/>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A393" s="5"/>
      <c r="B393" s="122"/>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A394" s="5"/>
      <c r="B394" s="122"/>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A395" s="5"/>
      <c r="B395" s="122"/>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A396" s="5"/>
      <c r="B396" s="122"/>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A397" s="5"/>
      <c r="B397" s="122"/>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A398" s="5"/>
      <c r="B398" s="122"/>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A399" s="5"/>
      <c r="B399" s="122"/>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A400" s="5"/>
      <c r="B400" s="122"/>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A401" s="5"/>
      <c r="B401" s="122"/>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A402" s="5"/>
      <c r="B402" s="122"/>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A403" s="5"/>
      <c r="B403" s="122"/>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A404" s="5"/>
      <c r="B404" s="122"/>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A405" s="5"/>
      <c r="B405" s="122"/>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A406" s="5"/>
      <c r="B406" s="122"/>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A407" s="5"/>
      <c r="B407" s="122"/>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A408" s="5"/>
      <c r="B408" s="122"/>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A409" s="5"/>
      <c r="B409" s="122"/>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A410" s="5"/>
      <c r="B410" s="122"/>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A411" s="5"/>
      <c r="B411" s="122"/>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A412" s="5"/>
      <c r="B412" s="122"/>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A413" s="5"/>
      <c r="B413" s="122"/>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A414" s="5"/>
      <c r="B414" s="122"/>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A415" s="5"/>
      <c r="B415" s="122"/>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A416" s="5"/>
      <c r="B416" s="122"/>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A417" s="5"/>
      <c r="B417" s="122"/>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A418" s="5"/>
      <c r="B418" s="122"/>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A419" s="5"/>
      <c r="B419" s="122"/>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A420" s="5"/>
      <c r="B420" s="122"/>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A421" s="5"/>
      <c r="B421" s="122"/>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A422" s="5"/>
      <c r="B422" s="122"/>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A423" s="5"/>
      <c r="B423" s="122"/>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A424" s="5"/>
      <c r="B424" s="122"/>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A425" s="5"/>
      <c r="B425" s="122"/>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A426" s="5"/>
      <c r="B426" s="122"/>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A427" s="5"/>
      <c r="B427" s="122"/>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A428" s="5"/>
      <c r="B428" s="122"/>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A429" s="5"/>
      <c r="B429" s="122"/>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A430" s="5"/>
      <c r="B430" s="122"/>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A431" s="5"/>
      <c r="B431" s="122"/>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A432" s="5"/>
      <c r="B432" s="122"/>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A433" s="5"/>
      <c r="B433" s="122"/>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A434" s="5"/>
      <c r="B434" s="122"/>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A435" s="5"/>
      <c r="B435" s="122"/>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A436" s="5"/>
      <c r="B436" s="122"/>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A437" s="5"/>
      <c r="B437" s="122"/>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A438" s="5"/>
      <c r="B438" s="122"/>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A439" s="5"/>
      <c r="B439" s="122"/>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A440" s="5"/>
      <c r="B440" s="122"/>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A441" s="5"/>
      <c r="B441" s="122"/>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A442" s="5"/>
      <c r="B442" s="122"/>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A443" s="5"/>
      <c r="B443" s="122"/>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A444" s="5"/>
      <c r="B444" s="122"/>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A445" s="5"/>
      <c r="B445" s="122"/>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A446" s="5"/>
      <c r="B446" s="122"/>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A447" s="5"/>
      <c r="B447" s="122"/>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A448" s="5"/>
      <c r="B448" s="122"/>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A449" s="5"/>
      <c r="B449" s="122"/>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A450" s="5"/>
      <c r="B450" s="122"/>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A451" s="5"/>
      <c r="B451" s="122"/>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A452" s="5"/>
      <c r="B452" s="122"/>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A453" s="5"/>
      <c r="B453" s="122"/>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A454" s="5"/>
      <c r="B454" s="122"/>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A455" s="5"/>
      <c r="B455" s="122"/>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A456" s="5"/>
      <c r="B456" s="122"/>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A457" s="5"/>
      <c r="B457" s="122"/>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A458" s="5"/>
      <c r="B458" s="122"/>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A459" s="5"/>
      <c r="B459" s="122"/>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A460" s="5"/>
      <c r="B460" s="122"/>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A461" s="5"/>
      <c r="B461" s="122"/>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A462" s="5"/>
      <c r="B462" s="122"/>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A463" s="5"/>
      <c r="B463" s="122"/>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A464" s="5"/>
      <c r="B464" s="122"/>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A465" s="5"/>
      <c r="B465" s="122"/>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A466" s="5"/>
      <c r="B466" s="122"/>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A467" s="5"/>
      <c r="B467" s="122"/>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A468" s="5"/>
      <c r="B468" s="122"/>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A469" s="5"/>
      <c r="B469" s="122"/>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A470" s="5"/>
      <c r="B470" s="122"/>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A471" s="5"/>
      <c r="B471" s="122"/>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A472" s="5"/>
      <c r="B472" s="122"/>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A473" s="5"/>
      <c r="B473" s="122"/>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A474" s="5"/>
      <c r="B474" s="122"/>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A475" s="5"/>
      <c r="B475" s="122"/>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A476" s="5"/>
      <c r="B476" s="122"/>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A477" s="5"/>
      <c r="B477" s="122"/>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A478" s="5"/>
      <c r="B478" s="122"/>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A479" s="5"/>
      <c r="B479" s="122"/>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A480" s="5"/>
      <c r="B480" s="122"/>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A481" s="5"/>
      <c r="B481" s="122"/>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A482" s="5"/>
      <c r="B482" s="122"/>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A483" s="5"/>
      <c r="B483" s="122"/>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A484" s="5"/>
      <c r="B484" s="122"/>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A485" s="5"/>
      <c r="B485" s="122"/>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A486" s="5"/>
      <c r="B486" s="122"/>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A487" s="5"/>
      <c r="B487" s="122"/>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A488" s="5"/>
      <c r="B488" s="122"/>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A489" s="5"/>
      <c r="B489" s="122"/>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A490" s="5"/>
      <c r="B490" s="122"/>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A491" s="5"/>
      <c r="B491" s="122"/>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A492" s="5"/>
      <c r="B492" s="122"/>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A493" s="5"/>
      <c r="B493" s="122"/>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A494" s="5"/>
      <c r="B494" s="122"/>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A495" s="5"/>
      <c r="B495" s="122"/>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A496" s="5"/>
      <c r="B496" s="122"/>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A497" s="5"/>
      <c r="B497" s="122"/>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A498" s="5"/>
      <c r="B498" s="122"/>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A499" s="5"/>
      <c r="B499" s="122"/>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A500" s="5"/>
      <c r="B500" s="122"/>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A501" s="5"/>
      <c r="B501" s="122"/>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A502" s="5"/>
      <c r="B502" s="122"/>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A503" s="5"/>
      <c r="B503" s="122"/>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A504" s="5"/>
      <c r="B504" s="122"/>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A505" s="5"/>
      <c r="B505" s="122"/>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A506" s="5"/>
      <c r="B506" s="122"/>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A507" s="5"/>
      <c r="B507" s="122"/>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A508" s="5"/>
      <c r="B508" s="122"/>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A509" s="5"/>
      <c r="B509" s="122"/>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A510" s="5"/>
      <c r="B510" s="122"/>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A511" s="5"/>
      <c r="B511" s="122"/>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A512" s="5"/>
      <c r="B512" s="122"/>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A513" s="5"/>
      <c r="B513" s="122"/>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A514" s="5"/>
      <c r="B514" s="122"/>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A515" s="5"/>
      <c r="B515" s="122"/>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A516" s="5"/>
      <c r="B516" s="122"/>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A517" s="5"/>
      <c r="B517" s="122"/>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A518" s="5"/>
      <c r="B518" s="122"/>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A519" s="5"/>
      <c r="B519" s="122"/>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A520" s="5"/>
      <c r="B520" s="122"/>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A521" s="5"/>
      <c r="B521" s="122"/>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A522" s="5"/>
      <c r="B522" s="122"/>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A523" s="5"/>
      <c r="B523" s="122"/>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A524" s="5"/>
      <c r="B524" s="122"/>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A525" s="5"/>
      <c r="B525" s="122"/>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A526" s="5"/>
      <c r="B526" s="122"/>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A527" s="5"/>
      <c r="B527" s="122"/>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A528" s="5"/>
      <c r="B528" s="122"/>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A529" s="5"/>
      <c r="B529" s="122"/>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A530" s="5"/>
      <c r="B530" s="122"/>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A531" s="5"/>
      <c r="B531" s="122"/>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A532" s="5"/>
      <c r="B532" s="122"/>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A533" s="5"/>
      <c r="B533" s="122"/>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A534" s="5"/>
      <c r="B534" s="122"/>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A535" s="5"/>
      <c r="B535" s="122"/>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A536" s="5"/>
      <c r="B536" s="122"/>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A537" s="5"/>
      <c r="B537" s="122"/>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A538" s="5"/>
      <c r="B538" s="122"/>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A539" s="5"/>
      <c r="B539" s="122"/>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A540" s="5"/>
      <c r="B540" s="122"/>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A541" s="5"/>
      <c r="B541" s="122"/>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A542" s="5"/>
      <c r="B542" s="122"/>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A543" s="5"/>
      <c r="B543" s="122"/>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A544" s="5"/>
      <c r="B544" s="122"/>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A545" s="5"/>
      <c r="B545" s="122"/>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A546" s="5"/>
      <c r="B546" s="122"/>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A547" s="5"/>
      <c r="B547" s="122"/>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A548" s="5"/>
      <c r="B548" s="122"/>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A549" s="5"/>
      <c r="B549" s="122"/>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A550" s="5"/>
      <c r="B550" s="122"/>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A551" s="5"/>
      <c r="B551" s="122"/>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A552" s="5"/>
      <c r="B552" s="122"/>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A553" s="5"/>
      <c r="B553" s="122"/>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A554" s="5"/>
      <c r="B554" s="122"/>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A555" s="5"/>
      <c r="B555" s="122"/>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A556" s="5"/>
      <c r="B556" s="122"/>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A557" s="5"/>
      <c r="B557" s="122"/>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A558" s="5"/>
      <c r="B558" s="122"/>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A559" s="5"/>
      <c r="B559" s="122"/>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A560" s="5"/>
      <c r="B560" s="122"/>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A561" s="5"/>
      <c r="B561" s="122"/>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A562" s="5"/>
      <c r="B562" s="122"/>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A563" s="5"/>
      <c r="B563" s="122"/>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A564" s="5"/>
      <c r="B564" s="122"/>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A565" s="5"/>
      <c r="B565" s="122"/>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A566" s="5"/>
      <c r="B566" s="122"/>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A567" s="5"/>
      <c r="B567" s="122"/>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A568" s="5"/>
      <c r="B568" s="122"/>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A569" s="5"/>
      <c r="B569" s="122"/>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A570" s="5"/>
      <c r="B570" s="122"/>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A571" s="5"/>
      <c r="B571" s="122"/>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A572" s="5"/>
      <c r="B572" s="122"/>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A573" s="5"/>
      <c r="B573" s="122"/>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A574" s="5"/>
      <c r="B574" s="122"/>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A575" s="5"/>
      <c r="B575" s="122"/>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A576" s="5"/>
      <c r="B576" s="122"/>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A577" s="5"/>
      <c r="B577" s="122"/>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A578" s="5"/>
      <c r="B578" s="122"/>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A579" s="5"/>
      <c r="B579" s="122"/>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A580" s="5"/>
      <c r="B580" s="122"/>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A581" s="5"/>
      <c r="B581" s="122"/>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A582" s="5"/>
      <c r="B582" s="122"/>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A583" s="5"/>
      <c r="B583" s="122"/>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A584" s="5"/>
      <c r="B584" s="122"/>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A585" s="5"/>
      <c r="B585" s="122"/>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A586" s="5"/>
      <c r="B586" s="122"/>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A587" s="5"/>
      <c r="B587" s="122"/>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A588" s="5"/>
      <c r="B588" s="122"/>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A589" s="5"/>
      <c r="B589" s="122"/>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A590" s="5"/>
      <c r="B590" s="122"/>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A591" s="5"/>
      <c r="B591" s="122"/>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A592" s="5"/>
      <c r="B592" s="122"/>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A593" s="5"/>
      <c r="B593" s="122"/>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A594" s="5"/>
      <c r="B594" s="122"/>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A595" s="5"/>
      <c r="B595" s="122"/>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A596" s="5"/>
      <c r="B596" s="122"/>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A597" s="5"/>
      <c r="B597" s="122"/>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A598" s="5"/>
      <c r="B598" s="122"/>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A599" s="5"/>
      <c r="B599" s="122"/>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A600" s="5"/>
      <c r="B600" s="122"/>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A601" s="5"/>
      <c r="B601" s="122"/>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A602" s="5"/>
      <c r="B602" s="122"/>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A603" s="5"/>
      <c r="B603" s="122"/>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A604" s="5"/>
      <c r="B604" s="122"/>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A605" s="5"/>
      <c r="B605" s="122"/>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A606" s="5"/>
      <c r="B606" s="122"/>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A607" s="5"/>
      <c r="B607" s="122"/>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A608" s="5"/>
      <c r="B608" s="122"/>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A609" s="5"/>
      <c r="B609" s="122"/>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A610" s="5"/>
      <c r="B610" s="122"/>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A611" s="5"/>
      <c r="B611" s="122"/>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A612" s="5"/>
      <c r="B612" s="122"/>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A613" s="5"/>
      <c r="B613" s="122"/>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A614" s="5"/>
      <c r="B614" s="122"/>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A615" s="5"/>
      <c r="B615" s="122"/>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A616" s="5"/>
      <c r="B616" s="122"/>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A617" s="5"/>
      <c r="B617" s="122"/>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A618" s="5"/>
      <c r="B618" s="122"/>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A619" s="5"/>
      <c r="B619" s="122"/>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A620" s="5"/>
      <c r="B620" s="122"/>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A621" s="5"/>
      <c r="B621" s="122"/>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A622" s="5"/>
      <c r="B622" s="122"/>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A623" s="5"/>
      <c r="B623" s="122"/>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A624" s="5"/>
      <c r="B624" s="122"/>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A625" s="5"/>
      <c r="B625" s="122"/>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A626" s="5"/>
      <c r="B626" s="122"/>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A627" s="5"/>
      <c r="B627" s="122"/>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A628" s="5"/>
      <c r="B628" s="122"/>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A629" s="5"/>
      <c r="B629" s="122"/>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A630" s="5"/>
      <c r="B630" s="122"/>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A631" s="5"/>
      <c r="B631" s="122"/>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A632" s="5"/>
      <c r="B632" s="122"/>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A633" s="5"/>
      <c r="B633" s="122"/>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A634" s="5"/>
      <c r="B634" s="122"/>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A635" s="5"/>
      <c r="B635" s="122"/>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A636" s="5"/>
      <c r="B636" s="122"/>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A637" s="5"/>
      <c r="B637" s="122"/>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A638" s="5"/>
      <c r="B638" s="122"/>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A639" s="5"/>
      <c r="B639" s="122"/>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A640" s="5"/>
      <c r="B640" s="122"/>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A641" s="5"/>
      <c r="B641" s="122"/>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A642" s="5"/>
      <c r="B642" s="122"/>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A643" s="5"/>
      <c r="B643" s="122"/>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A644" s="5"/>
      <c r="B644" s="122"/>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A645" s="5"/>
      <c r="B645" s="122"/>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A646" s="5"/>
      <c r="B646" s="122"/>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A647" s="5"/>
      <c r="B647" s="122"/>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A648" s="5"/>
      <c r="B648" s="122"/>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A649" s="5"/>
      <c r="B649" s="122"/>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A650" s="5"/>
      <c r="B650" s="122"/>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A651" s="5"/>
      <c r="B651" s="122"/>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A652" s="5"/>
      <c r="B652" s="122"/>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A653" s="5"/>
      <c r="B653" s="122"/>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A654" s="5"/>
      <c r="B654" s="122"/>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A655" s="5"/>
      <c r="B655" s="122"/>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A656" s="5"/>
      <c r="B656" s="122"/>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A657" s="5"/>
      <c r="B657" s="122"/>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A658" s="5"/>
      <c r="B658" s="122"/>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A659" s="5"/>
      <c r="B659" s="122"/>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A660" s="5"/>
      <c r="B660" s="122"/>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A661" s="5"/>
      <c r="B661" s="122"/>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A662" s="5"/>
      <c r="B662" s="122"/>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A663" s="5"/>
      <c r="B663" s="122"/>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A664" s="5"/>
      <c r="B664" s="122"/>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A665" s="5"/>
      <c r="B665" s="122"/>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A666" s="5"/>
      <c r="B666" s="122"/>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A667" s="5"/>
      <c r="B667" s="122"/>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A668" s="5"/>
      <c r="B668" s="122"/>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A669" s="5"/>
      <c r="B669" s="122"/>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A670" s="5"/>
      <c r="B670" s="122"/>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A671" s="5"/>
      <c r="B671" s="122"/>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A672" s="5"/>
      <c r="B672" s="122"/>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A673" s="5"/>
      <c r="B673" s="122"/>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A674" s="5"/>
      <c r="B674" s="122"/>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A675" s="5"/>
      <c r="B675" s="122"/>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A676" s="5"/>
      <c r="B676" s="122"/>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A677" s="5"/>
      <c r="B677" s="122"/>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A678" s="5"/>
      <c r="B678" s="122"/>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A679" s="5"/>
      <c r="B679" s="122"/>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A680" s="5"/>
      <c r="B680" s="122"/>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A681" s="5"/>
      <c r="B681" s="122"/>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A682" s="5"/>
      <c r="B682" s="122"/>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A683" s="5"/>
      <c r="B683" s="122"/>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A684" s="5"/>
      <c r="B684" s="122"/>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A685" s="5"/>
      <c r="B685" s="122"/>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A686" s="5"/>
      <c r="B686" s="122"/>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A687" s="5"/>
      <c r="B687" s="122"/>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A688" s="5"/>
      <c r="B688" s="122"/>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A689" s="5"/>
      <c r="B689" s="122"/>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A690" s="5"/>
      <c r="B690" s="122"/>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A691" s="5"/>
      <c r="B691" s="122"/>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A692" s="5"/>
      <c r="B692" s="122"/>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A693" s="5"/>
      <c r="B693" s="122"/>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A694" s="5"/>
      <c r="B694" s="122"/>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A695" s="5"/>
      <c r="B695" s="122"/>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A696" s="5"/>
      <c r="B696" s="122"/>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A697" s="5"/>
      <c r="B697" s="122"/>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A698" s="5"/>
      <c r="B698" s="122"/>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A699" s="5"/>
      <c r="B699" s="122"/>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A700" s="5"/>
      <c r="B700" s="122"/>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A701" s="5"/>
      <c r="B701" s="122"/>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A702" s="5"/>
      <c r="B702" s="122"/>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A703" s="5"/>
      <c r="B703" s="122"/>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A704" s="5"/>
      <c r="B704" s="122"/>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A705" s="5"/>
      <c r="B705" s="122"/>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A706" s="5"/>
      <c r="B706" s="122"/>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A707" s="5"/>
      <c r="B707" s="122"/>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A708" s="5"/>
      <c r="B708" s="122"/>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A709" s="5"/>
      <c r="B709" s="122"/>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A710" s="5"/>
      <c r="B710" s="122"/>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A711" s="5"/>
      <c r="B711" s="122"/>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A712" s="5"/>
      <c r="B712" s="122"/>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A713" s="5"/>
      <c r="B713" s="122"/>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A714" s="5"/>
      <c r="B714" s="122"/>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A715" s="5"/>
      <c r="B715" s="122"/>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A716" s="5"/>
      <c r="B716" s="122"/>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A717" s="5"/>
      <c r="B717" s="122"/>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A718" s="5"/>
      <c r="B718" s="122"/>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A719" s="5"/>
      <c r="B719" s="122"/>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A720" s="5"/>
      <c r="B720" s="122"/>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A721" s="5"/>
      <c r="B721" s="122"/>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A722" s="5"/>
      <c r="B722" s="122"/>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A723" s="5"/>
      <c r="B723" s="122"/>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A724" s="5"/>
      <c r="B724" s="122"/>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A725" s="5"/>
      <c r="B725" s="122"/>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A726" s="5"/>
      <c r="B726" s="122"/>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A727" s="5"/>
      <c r="B727" s="122"/>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A728" s="5"/>
      <c r="B728" s="122"/>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A729" s="5"/>
      <c r="B729" s="122"/>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A730" s="5"/>
      <c r="B730" s="122"/>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A731" s="5"/>
      <c r="B731" s="122"/>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A732" s="5"/>
      <c r="B732" s="122"/>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A733" s="5"/>
      <c r="B733" s="122"/>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A734" s="5"/>
      <c r="B734" s="122"/>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A735" s="5"/>
      <c r="B735" s="122"/>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A736" s="5"/>
      <c r="B736" s="122"/>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A737" s="5"/>
      <c r="B737" s="122"/>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A738" s="5"/>
      <c r="B738" s="122"/>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A739" s="5"/>
      <c r="B739" s="122"/>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A740" s="5"/>
      <c r="B740" s="122"/>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A741" s="5"/>
      <c r="B741" s="122"/>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A742" s="5"/>
      <c r="B742" s="122"/>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A743" s="5"/>
      <c r="B743" s="122"/>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A744" s="5"/>
      <c r="B744" s="122"/>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A745" s="5"/>
      <c r="B745" s="122"/>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A746" s="5"/>
      <c r="B746" s="122"/>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A747" s="5"/>
      <c r="B747" s="122"/>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A748" s="5"/>
      <c r="B748" s="122"/>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A749" s="5"/>
      <c r="B749" s="122"/>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A750" s="5"/>
      <c r="B750" s="122"/>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A751" s="5"/>
      <c r="B751" s="122"/>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A752" s="5"/>
      <c r="B752" s="122"/>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A753" s="5"/>
      <c r="B753" s="122"/>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A754" s="5"/>
      <c r="B754" s="122"/>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A755" s="5"/>
      <c r="B755" s="122"/>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A756" s="5"/>
      <c r="B756" s="122"/>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A757" s="5"/>
      <c r="B757" s="122"/>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A758" s="5"/>
      <c r="B758" s="122"/>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A759" s="5"/>
      <c r="B759" s="122"/>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A760" s="5"/>
      <c r="B760" s="122"/>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A761" s="5"/>
      <c r="B761" s="122"/>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A762" s="5"/>
      <c r="B762" s="122"/>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A763" s="5"/>
      <c r="B763" s="122"/>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A764" s="5"/>
      <c r="B764" s="122"/>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A765" s="5"/>
      <c r="B765" s="122"/>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A766" s="5"/>
      <c r="B766" s="122"/>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A767" s="5"/>
      <c r="B767" s="122"/>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A768" s="5"/>
      <c r="B768" s="122"/>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A769" s="5"/>
      <c r="B769" s="122"/>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A770" s="5"/>
      <c r="B770" s="122"/>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A771" s="5"/>
      <c r="B771" s="122"/>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A772" s="5"/>
      <c r="B772" s="122"/>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A773" s="5"/>
      <c r="B773" s="122"/>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A774" s="5"/>
      <c r="B774" s="122"/>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A775" s="5"/>
      <c r="B775" s="122"/>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A776" s="5"/>
      <c r="B776" s="122"/>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A777" s="5"/>
      <c r="B777" s="122"/>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A778" s="5"/>
      <c r="B778" s="122"/>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A779" s="5"/>
      <c r="B779" s="122"/>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A780" s="5"/>
      <c r="B780" s="122"/>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A781" s="5"/>
      <c r="B781" s="122"/>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A782" s="5"/>
      <c r="B782" s="122"/>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A783" s="5"/>
      <c r="B783" s="122"/>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A784" s="5"/>
      <c r="B784" s="122"/>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A785" s="5"/>
      <c r="B785" s="122"/>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A786" s="5"/>
      <c r="B786" s="122"/>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A787" s="5"/>
      <c r="B787" s="122"/>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A788" s="5"/>
      <c r="B788" s="122"/>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A789" s="5"/>
      <c r="B789" s="122"/>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A790" s="5"/>
      <c r="B790" s="122"/>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A791" s="5"/>
      <c r="B791" s="122"/>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A792" s="5"/>
      <c r="B792" s="122"/>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A793" s="5"/>
      <c r="B793" s="122"/>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A794" s="5"/>
      <c r="B794" s="122"/>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A795" s="5"/>
      <c r="B795" s="122"/>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A796" s="5"/>
      <c r="B796" s="122"/>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A797" s="5"/>
      <c r="B797" s="122"/>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A798" s="5"/>
      <c r="B798" s="122"/>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A799" s="5"/>
      <c r="B799" s="122"/>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A800" s="5"/>
      <c r="B800" s="122"/>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A801" s="5"/>
      <c r="B801" s="122"/>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A802" s="5"/>
      <c r="B802" s="122"/>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A803" s="5"/>
      <c r="B803" s="122"/>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A804" s="5"/>
      <c r="B804" s="122"/>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A805" s="5"/>
      <c r="B805" s="122"/>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A806" s="5"/>
      <c r="B806" s="122"/>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A807" s="5"/>
      <c r="B807" s="122"/>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A808" s="5"/>
      <c r="B808" s="122"/>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A809" s="5"/>
      <c r="B809" s="122"/>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A810" s="5"/>
      <c r="B810" s="122"/>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A811" s="5"/>
      <c r="B811" s="122"/>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A812" s="5"/>
      <c r="B812" s="122"/>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A813" s="5"/>
      <c r="B813" s="122"/>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A814" s="5"/>
      <c r="B814" s="122"/>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A815" s="5"/>
      <c r="B815" s="122"/>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A816" s="5"/>
      <c r="B816" s="122"/>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A817" s="5"/>
      <c r="B817" s="122"/>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A818" s="5"/>
      <c r="B818" s="122"/>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A819" s="5"/>
      <c r="B819" s="122"/>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A820" s="5"/>
      <c r="B820" s="122"/>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A821" s="5"/>
      <c r="B821" s="122"/>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A822" s="5"/>
      <c r="B822" s="122"/>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A823" s="5"/>
      <c r="B823" s="122"/>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A824" s="5"/>
      <c r="B824" s="122"/>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A825" s="5"/>
      <c r="B825" s="122"/>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A826" s="5"/>
      <c r="B826" s="122"/>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A827" s="5"/>
      <c r="B827" s="122"/>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A828" s="5"/>
      <c r="B828" s="122"/>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A829" s="5"/>
      <c r="B829" s="122"/>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A830" s="5"/>
      <c r="B830" s="122"/>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A831" s="5"/>
      <c r="B831" s="122"/>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A832" s="5"/>
      <c r="B832" s="122"/>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A833" s="5"/>
      <c r="B833" s="122"/>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A834" s="5"/>
      <c r="B834" s="122"/>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A835" s="5"/>
      <c r="B835" s="122"/>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A836" s="5"/>
      <c r="B836" s="122"/>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A837" s="5"/>
      <c r="B837" s="122"/>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A838" s="5"/>
      <c r="B838" s="122"/>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A839" s="5"/>
      <c r="B839" s="122"/>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A840" s="5"/>
      <c r="B840" s="122"/>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A841" s="5"/>
      <c r="B841" s="122"/>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A842" s="5"/>
      <c r="B842" s="122"/>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A843" s="5"/>
      <c r="B843" s="122"/>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A844" s="5"/>
      <c r="B844" s="122"/>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A845" s="5"/>
      <c r="B845" s="122"/>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A846" s="5"/>
      <c r="B846" s="122"/>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A847" s="5"/>
      <c r="B847" s="122"/>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A848" s="5"/>
      <c r="B848" s="122"/>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A849" s="5"/>
      <c r="B849" s="122"/>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A850" s="5"/>
      <c r="B850" s="122"/>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A851" s="5"/>
      <c r="B851" s="122"/>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A852" s="5"/>
      <c r="B852" s="122"/>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A853" s="5"/>
      <c r="B853" s="122"/>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A854" s="5"/>
      <c r="B854" s="122"/>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A855" s="5"/>
      <c r="B855" s="122"/>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A856" s="5"/>
      <c r="B856" s="122"/>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A857" s="5"/>
      <c r="B857" s="122"/>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A858" s="5"/>
      <c r="B858" s="122"/>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A859" s="5"/>
      <c r="B859" s="122"/>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A860" s="5"/>
      <c r="B860" s="122"/>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A861" s="5"/>
      <c r="B861" s="122"/>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A862" s="5"/>
      <c r="B862" s="122"/>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A863" s="5"/>
      <c r="B863" s="122"/>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A864" s="5"/>
      <c r="B864" s="122"/>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A865" s="5"/>
      <c r="B865" s="122"/>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A866" s="5"/>
      <c r="B866" s="122"/>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sheetData>
  <dataValidations>
    <dataValidation type="list" allowBlank="1" showDropDown="1" showErrorMessage="1" sqref="A2:A73">
      <formula1>"S01,S02,S03,S04,S05,S06,S07,S08,S09,S10,S11,S12,S13,S14,S15,S16,S17,S18,S19,S20,S21,S22,S23,S24,S25,S26,S27,S28,S29,S30,S31,S32,S33,S34,S35,S36,S37,S38,S39,S40,S41,S42,S43,S44,S45,S46,S47,S48,S49,S50,S51,S52,S53,S54,S55,S56,S57,S58,S59,S60,S61,S62,S63,S64"&amp;",S65,S66,S67,S68,S69,S70,S71,S72,S73,S74,S75,S76,S77,S78,S79,S80,S81,S82,S83,S84,S85,S86,S87,S88,S89,S90,S91,S92,S93,S94,S95,S96,S97,S98,S99,S100,S101,S102,S103,S104,S105,S106,S107,S108,S109,S110,S111,S112,S113,S114,S115,S116,S117,S118,S119,S120,S121,S122"&amp;",S123,S124,S125,S126,S127,S128,S129,S130,S131,S132,S133,S134,S135,S136,S137,S138,S139,S140,S141,S142,S143,S144,S145,S146,S147,S148,S149,S150,S151,S152,S153,S154,S155,S156,S157,S158,S159,S160,S161,S162,S163,S164,S165,S166,S167,S168,S169,S170,S171,S172,S173"&amp;",S174,S175,S176,S177,S178,S179,S180,S181,S182,S183,S184,S185,S186,S187,S188,S189,S190,S191,S192,S193,S194,S195,S196,S197,S198,S199,S200,S201,S202,S203,S204,S205,S206"</formula1>
    </dataValidation>
    <dataValidation type="list" allowBlank="1" showDropDown="1" showErrorMessage="1" sqref="W2:W73">
      <formula1>"United States,Switzerland,New York, NY, USA,Canada,Netherlands,England,Australia,USA,Germany,India"</formula1>
    </dataValidation>
    <dataValidation type="list" allowBlank="1" showDropDown="1" showErrorMessage="1" sqref="AA2:AA73">
      <formula1>"PMC6025558,PMC11203408,PMC12054967,PMC10511780,PMC11778161,PMC9180504,PMC10337301,PMC10337357,PMC11292145,PMC11007601,PMC10366700,PMC7566877,PMC7480726,PMC11951667,PMC6879100,PMC12329389,PMC9333518,PMC9271672,PMC8704107,PMC11564277,PMC5719498,PMC11299094,"&amp;"PMC7709895,PMC6696505,PMC12396793,PMC7527758,PMC10421562,PMC7013651,PMC8196355,PMC7677025,PMC12097645,PMC9349237,PMC10846420,PMC4835356,PMC6801001,PMC4706743,PMC6280972,PMC7451450,PMC5866528,PMC11937766,PMC12353438"</formula1>
    </dataValidation>
    <dataValidation type="list" allowBlank="1" sqref="E2:E73 H2:H73">
      <formula1>"Rejected,Accepted,Doubt"</formula1>
    </dataValidation>
    <dataValidation type="custom" allowBlank="1" showDropDown="1" sqref="L2:N73 Q2:R73 Z2:Z73">
      <formula1>AND(ISNUMBER(L2),(NOT(OR(NOT(ISERROR(DATEVALUE(L2))), AND(ISNUMBER(L2), LEFT(CELL("format", L2))="D")))))</formula1>
    </dataValidation>
    <dataValidation type="list" allowBlank="1" sqref="K2:K73">
      <formula1>"SIM,CRITÉRIOS DIFERENTES,NÃO"</formula1>
    </dataValidation>
    <dataValidation type="list" allowBlank="1" sqref="F2:F73 I2:I73">
      <formula1>"IC1 Study that discusses the needs and/or experiences of transgender or gender diverse people when using social networks,EC1 Study that does not directly address TGD individuals and their experiences, needs, or interactions in social networks from a persp"&amp;"ective related to the design, evaluation, use, or policies of these platforms (e.g., studies focused exclusively on biomedical, legal, or general social aspects).,EC2 Study that addresses other aspects of identity without focusing on gender identity as a "&amp;"factor in social network research,EC3 Non-peer-reviewed studies,EC4 Study published in languages other than English or Portuguese,EC5 Secondary study (systematic reviews, meta-analyses, and other secondary analyses that do not present new empirical data,E"&amp;"C6 Study that is not a full article,EC7 Study with full text unavailable,EC8 Study that exclusively analyze content or representations about TGD experiences in social media (e.g., posts, videos, hashtags), without direct data from TGD individuals (e.g., i"&amp;"nterviews, surveys) on their lived experiences or platform usage practices."</formula1>
    </dataValidation>
  </dataValidations>
  <hyperlinks>
    <hyperlink r:id="rId1" ref="C2"/>
    <hyperlink r:id="rId2" ref="D2"/>
    <hyperlink r:id="rId3" ref="C3"/>
    <hyperlink r:id="rId4" ref="D3"/>
    <hyperlink r:id="rId5" ref="D4"/>
    <hyperlink r:id="rId6" ref="C5"/>
    <hyperlink r:id="rId7" ref="D5"/>
    <hyperlink r:id="rId8" ref="C6"/>
    <hyperlink r:id="rId9" ref="D6"/>
    <hyperlink r:id="rId10" ref="D7"/>
    <hyperlink r:id="rId11" ref="D8"/>
    <hyperlink r:id="rId12" ref="D9"/>
    <hyperlink r:id="rId13" ref="D10"/>
    <hyperlink r:id="rId14" ref="D11"/>
    <hyperlink r:id="rId15" ref="C12"/>
    <hyperlink r:id="rId16" ref="D12"/>
    <hyperlink r:id="rId17" ref="C13"/>
    <hyperlink r:id="rId18" ref="D13"/>
    <hyperlink r:id="rId19" ref="C14"/>
    <hyperlink r:id="rId20" ref="D14"/>
    <hyperlink r:id="rId21" ref="C15"/>
    <hyperlink r:id="rId22" ref="D15"/>
    <hyperlink r:id="rId23" ref="D16"/>
    <hyperlink r:id="rId24" ref="C17"/>
    <hyperlink r:id="rId25" ref="D17"/>
    <hyperlink r:id="rId26" ref="C18"/>
    <hyperlink r:id="rId27" ref="D18"/>
    <hyperlink r:id="rId28" ref="C19"/>
    <hyperlink r:id="rId29" ref="D19"/>
    <hyperlink r:id="rId30" ref="C20"/>
    <hyperlink r:id="rId31" ref="D20"/>
    <hyperlink r:id="rId32" ref="C21"/>
    <hyperlink r:id="rId33" ref="D22"/>
    <hyperlink r:id="rId34" ref="C23"/>
    <hyperlink r:id="rId35" ref="D23"/>
    <hyperlink r:id="rId36" ref="D24"/>
    <hyperlink r:id="rId37" ref="D25"/>
    <hyperlink r:id="rId38" ref="C26"/>
    <hyperlink r:id="rId39" ref="D26"/>
    <hyperlink r:id="rId40" ref="C27"/>
    <hyperlink r:id="rId41" ref="D27"/>
    <hyperlink r:id="rId42" ref="D28"/>
    <hyperlink r:id="rId43" ref="D29"/>
    <hyperlink r:id="rId44" ref="D30"/>
    <hyperlink r:id="rId45" ref="C31"/>
    <hyperlink r:id="rId46" ref="D31"/>
    <hyperlink r:id="rId47" ref="C32"/>
    <hyperlink r:id="rId48" ref="D32"/>
    <hyperlink r:id="rId49" ref="D33"/>
    <hyperlink r:id="rId50" ref="D34"/>
    <hyperlink r:id="rId51" ref="D35"/>
    <hyperlink r:id="rId52" ref="D36"/>
    <hyperlink r:id="rId53" ref="C37"/>
    <hyperlink r:id="rId54" ref="D37"/>
    <hyperlink r:id="rId55" ref="D38"/>
    <hyperlink r:id="rId56" ref="C39"/>
    <hyperlink r:id="rId57" ref="D39"/>
    <hyperlink r:id="rId58" ref="D40"/>
    <hyperlink r:id="rId59" ref="D41"/>
    <hyperlink r:id="rId60" ref="D42"/>
    <hyperlink r:id="rId61" ref="D43"/>
    <hyperlink r:id="rId62" ref="C44"/>
    <hyperlink r:id="rId63" ref="D44"/>
    <hyperlink r:id="rId64" ref="C45"/>
    <hyperlink r:id="rId65" ref="D45"/>
    <hyperlink r:id="rId66" ref="D46"/>
    <hyperlink r:id="rId67" ref="D47"/>
    <hyperlink r:id="rId68" ref="C48"/>
    <hyperlink r:id="rId69" ref="D48"/>
    <hyperlink r:id="rId70" ref="C49"/>
    <hyperlink r:id="rId71" ref="D49"/>
    <hyperlink r:id="rId72" ref="C50"/>
    <hyperlink r:id="rId73" ref="D50"/>
    <hyperlink r:id="rId74" ref="D51"/>
    <hyperlink r:id="rId75" ref="D52"/>
    <hyperlink r:id="rId76" ref="C53"/>
    <hyperlink r:id="rId77" ref="D53"/>
    <hyperlink r:id="rId78" ref="C54"/>
    <hyperlink r:id="rId79" ref="D54"/>
    <hyperlink r:id="rId80" ref="D55"/>
    <hyperlink r:id="rId81" ref="D56"/>
    <hyperlink r:id="rId82" ref="D57"/>
    <hyperlink r:id="rId83" ref="D58"/>
    <hyperlink r:id="rId84" ref="D59"/>
    <hyperlink r:id="rId85" ref="D60"/>
    <hyperlink r:id="rId86" ref="C61"/>
    <hyperlink r:id="rId87" ref="D61"/>
    <hyperlink r:id="rId88" ref="C62"/>
    <hyperlink r:id="rId89" ref="D62"/>
    <hyperlink r:id="rId90" ref="D63"/>
    <hyperlink r:id="rId91" ref="C64"/>
    <hyperlink r:id="rId92" ref="D64"/>
    <hyperlink r:id="rId93" ref="D65"/>
    <hyperlink r:id="rId94" ref="D66"/>
    <hyperlink r:id="rId95" ref="D67"/>
    <hyperlink r:id="rId96" ref="D68"/>
    <hyperlink r:id="rId97" ref="D69"/>
    <hyperlink r:id="rId98" ref="C70"/>
    <hyperlink r:id="rId99" ref="D70"/>
    <hyperlink r:id="rId100" ref="D71"/>
    <hyperlink r:id="rId101" ref="C72"/>
    <hyperlink r:id="rId102" ref="D72"/>
    <hyperlink r:id="rId103" ref="D73"/>
  </hyperlinks>
  <drawing r:id="rId104"/>
  <tableParts count="1">
    <tablePart r:id="rId10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49.5"/>
    <col customWidth="1" hidden="1" min="3" max="3" width="13.0"/>
    <col customWidth="1" hidden="1" min="4" max="4" width="42.88"/>
    <col customWidth="1" min="5" max="5" width="18.38"/>
    <col customWidth="1" min="6" max="6" width="25.38"/>
    <col customWidth="1" min="7" max="7" width="19.25"/>
    <col customWidth="1" min="8" max="8" width="15.63"/>
    <col customWidth="1" min="11" max="11" width="11.13"/>
  </cols>
  <sheetData>
    <row r="1" ht="22.5" customHeight="1">
      <c r="A1" s="2" t="s">
        <v>1</v>
      </c>
      <c r="B1" s="4" t="s">
        <v>3</v>
      </c>
      <c r="C1" s="2" t="s">
        <v>5</v>
      </c>
      <c r="D1" s="2" t="s">
        <v>6</v>
      </c>
      <c r="E1" s="2" t="s">
        <v>12</v>
      </c>
      <c r="F1" s="2" t="s">
        <v>15</v>
      </c>
      <c r="G1" s="2" t="s">
        <v>18</v>
      </c>
      <c r="H1" s="3" t="s">
        <v>20</v>
      </c>
      <c r="I1" s="2" t="s">
        <v>21</v>
      </c>
      <c r="J1" s="2" t="s">
        <v>23</v>
      </c>
      <c r="K1" s="2" t="s">
        <v>24</v>
      </c>
      <c r="L1" s="2" t="s">
        <v>26</v>
      </c>
      <c r="M1" s="2" t="s">
        <v>27</v>
      </c>
      <c r="N1" s="2" t="s">
        <v>29</v>
      </c>
      <c r="O1" s="2" t="s">
        <v>30</v>
      </c>
      <c r="P1" s="2" t="s">
        <v>31</v>
      </c>
      <c r="Q1" s="2" t="s">
        <v>32</v>
      </c>
      <c r="R1" s="2" t="s">
        <v>33</v>
      </c>
      <c r="S1" s="2" t="s">
        <v>34</v>
      </c>
      <c r="T1" s="2" t="s">
        <v>36</v>
      </c>
      <c r="U1" s="2" t="s">
        <v>38</v>
      </c>
      <c r="V1" s="2" t="s">
        <v>39</v>
      </c>
      <c r="W1" s="2" t="s">
        <v>40</v>
      </c>
      <c r="X1" s="2" t="s">
        <v>41</v>
      </c>
      <c r="Y1" s="5"/>
      <c r="Z1" s="5"/>
      <c r="AA1" s="5"/>
      <c r="AB1" s="5"/>
      <c r="AC1" s="5"/>
    </row>
    <row r="2" ht="22.5" customHeight="1">
      <c r="A2" s="16" t="s">
        <v>42</v>
      </c>
      <c r="B2" s="17" t="s">
        <v>47</v>
      </c>
      <c r="C2" s="19"/>
      <c r="D2" s="22" t="s">
        <v>51</v>
      </c>
      <c r="E2" s="24" t="s">
        <v>57</v>
      </c>
      <c r="F2" s="27" t="s">
        <v>59</v>
      </c>
      <c r="G2" s="29" t="s">
        <v>61</v>
      </c>
      <c r="H2" s="29">
        <v>5.0</v>
      </c>
      <c r="I2" s="31">
        <v>2014.0</v>
      </c>
      <c r="J2" s="31">
        <v>11.0</v>
      </c>
      <c r="K2" s="35"/>
      <c r="L2" s="38" t="s">
        <v>66</v>
      </c>
      <c r="M2" s="38" t="s">
        <v>67</v>
      </c>
      <c r="N2" s="31">
        <v>16.0</v>
      </c>
      <c r="O2" s="31">
        <v>7.0</v>
      </c>
      <c r="P2" s="38" t="s">
        <v>68</v>
      </c>
      <c r="Q2" s="38" t="s">
        <v>70</v>
      </c>
      <c r="R2" s="19"/>
      <c r="S2" s="19"/>
      <c r="T2" s="46"/>
      <c r="U2" s="19"/>
      <c r="V2" s="19"/>
      <c r="W2" s="35"/>
      <c r="X2" s="50"/>
      <c r="Y2" s="5"/>
      <c r="Z2" s="5"/>
      <c r="AA2" s="5"/>
      <c r="AB2" s="5"/>
      <c r="AC2" s="5"/>
    </row>
    <row r="3" ht="22.5" customHeight="1">
      <c r="A3" s="63" t="s">
        <v>84</v>
      </c>
      <c r="B3" s="20" t="s">
        <v>50</v>
      </c>
      <c r="C3" s="33" t="s">
        <v>54</v>
      </c>
      <c r="D3" s="40" t="s">
        <v>54</v>
      </c>
      <c r="E3" s="42" t="s">
        <v>60</v>
      </c>
      <c r="F3" s="27" t="s">
        <v>62</v>
      </c>
      <c r="G3" s="66"/>
      <c r="H3" s="66">
        <v>7.0</v>
      </c>
      <c r="I3" s="47">
        <v>2015.0</v>
      </c>
      <c r="J3" s="49"/>
      <c r="K3" s="49"/>
      <c r="L3" s="54"/>
      <c r="M3" s="54"/>
      <c r="N3" s="49"/>
      <c r="O3" s="49"/>
      <c r="P3" s="57" t="s">
        <v>74</v>
      </c>
      <c r="Q3" s="57" t="s">
        <v>75</v>
      </c>
      <c r="R3" s="54"/>
      <c r="S3" s="57" t="s">
        <v>78</v>
      </c>
      <c r="T3" s="60" t="s">
        <v>80</v>
      </c>
      <c r="U3" s="54"/>
      <c r="V3" s="57" t="s">
        <v>82</v>
      </c>
      <c r="W3" s="49"/>
      <c r="X3" s="62"/>
      <c r="Y3" s="5"/>
      <c r="Z3" s="5"/>
      <c r="AA3" s="5"/>
      <c r="AB3" s="5"/>
      <c r="AC3" s="5"/>
    </row>
    <row r="4" ht="22.5" customHeight="1">
      <c r="A4" s="16" t="s">
        <v>100</v>
      </c>
      <c r="B4" s="74" t="s">
        <v>88</v>
      </c>
      <c r="C4" s="21" t="s">
        <v>89</v>
      </c>
      <c r="D4" s="25" t="s">
        <v>89</v>
      </c>
      <c r="E4" s="28" t="s">
        <v>60</v>
      </c>
      <c r="F4" s="27" t="s">
        <v>62</v>
      </c>
      <c r="G4" s="30"/>
      <c r="H4" s="30">
        <v>7.5</v>
      </c>
      <c r="I4" s="53">
        <v>2015.0</v>
      </c>
      <c r="J4" s="39"/>
      <c r="K4" s="39"/>
      <c r="L4" s="58"/>
      <c r="M4" s="58"/>
      <c r="N4" s="39"/>
      <c r="O4" s="39"/>
      <c r="P4" s="56" t="s">
        <v>97</v>
      </c>
      <c r="Q4" s="56" t="s">
        <v>98</v>
      </c>
      <c r="R4" s="58"/>
      <c r="S4" s="56" t="s">
        <v>78</v>
      </c>
      <c r="T4" s="78" t="s">
        <v>80</v>
      </c>
      <c r="U4" s="58"/>
      <c r="V4" s="56" t="s">
        <v>99</v>
      </c>
      <c r="W4" s="39"/>
      <c r="X4" s="79"/>
      <c r="Y4" s="5"/>
      <c r="Z4" s="5"/>
      <c r="AA4" s="5"/>
      <c r="AB4" s="5"/>
      <c r="AC4" s="5"/>
    </row>
    <row r="5" ht="22.5" customHeight="1">
      <c r="A5" s="63" t="s">
        <v>110</v>
      </c>
      <c r="B5" s="92" t="s">
        <v>111</v>
      </c>
      <c r="C5" s="93"/>
      <c r="D5" s="94" t="s">
        <v>112</v>
      </c>
      <c r="E5" s="95" t="s">
        <v>57</v>
      </c>
      <c r="F5" s="27" t="s">
        <v>59</v>
      </c>
      <c r="G5" s="30" t="s">
        <v>115</v>
      </c>
      <c r="H5" s="96">
        <v>5.5</v>
      </c>
      <c r="I5" s="97">
        <v>2015.0</v>
      </c>
      <c r="J5" s="97">
        <v>2.0</v>
      </c>
      <c r="K5" s="98"/>
      <c r="L5" s="99" t="s">
        <v>116</v>
      </c>
      <c r="M5" s="99" t="s">
        <v>117</v>
      </c>
      <c r="N5" s="97">
        <v>65.0</v>
      </c>
      <c r="O5" s="97">
        <v>1.0</v>
      </c>
      <c r="P5" s="99" t="s">
        <v>118</v>
      </c>
      <c r="Q5" s="99" t="s">
        <v>119</v>
      </c>
      <c r="R5" s="93"/>
      <c r="S5" s="93"/>
      <c r="T5" s="100"/>
      <c r="U5" s="93"/>
      <c r="V5" s="93"/>
      <c r="W5" s="98"/>
      <c r="X5" s="102"/>
      <c r="Y5" s="5"/>
      <c r="Z5" s="5"/>
      <c r="AA5" s="5"/>
      <c r="AB5" s="5"/>
      <c r="AC5" s="5"/>
    </row>
    <row r="6" ht="22.5" customHeight="1">
      <c r="A6" s="16" t="s">
        <v>125</v>
      </c>
      <c r="B6" s="91" t="s">
        <v>108</v>
      </c>
      <c r="C6" s="21" t="s">
        <v>109</v>
      </c>
      <c r="D6" s="25" t="s">
        <v>109</v>
      </c>
      <c r="E6" s="28" t="s">
        <v>60</v>
      </c>
      <c r="F6" s="27" t="s">
        <v>62</v>
      </c>
      <c r="G6" s="30" t="s">
        <v>126</v>
      </c>
      <c r="H6" s="30">
        <v>7.5</v>
      </c>
      <c r="I6" s="53">
        <v>2016.0</v>
      </c>
      <c r="J6" s="39"/>
      <c r="K6" s="39"/>
      <c r="L6" s="58"/>
      <c r="M6" s="58"/>
      <c r="N6" s="39"/>
      <c r="O6" s="39"/>
      <c r="P6" s="56" t="s">
        <v>113</v>
      </c>
      <c r="Q6" s="56" t="s">
        <v>75</v>
      </c>
      <c r="R6" s="58"/>
      <c r="S6" s="56" t="s">
        <v>78</v>
      </c>
      <c r="T6" s="78" t="s">
        <v>80</v>
      </c>
      <c r="U6" s="58"/>
      <c r="V6" s="56" t="s">
        <v>114</v>
      </c>
      <c r="W6" s="39"/>
      <c r="X6" s="79"/>
      <c r="Y6" s="5"/>
      <c r="Z6" s="5"/>
      <c r="AA6" s="5"/>
      <c r="AB6" s="5"/>
      <c r="AC6" s="5"/>
    </row>
    <row r="7" ht="22.5" customHeight="1">
      <c r="A7" s="63" t="s">
        <v>136</v>
      </c>
      <c r="B7" s="75" t="s">
        <v>127</v>
      </c>
      <c r="C7" s="54"/>
      <c r="D7" s="40" t="s">
        <v>128</v>
      </c>
      <c r="E7" s="42" t="s">
        <v>60</v>
      </c>
      <c r="F7" s="27" t="s">
        <v>62</v>
      </c>
      <c r="G7" s="66" t="s">
        <v>138</v>
      </c>
      <c r="H7" s="66">
        <v>7.0</v>
      </c>
      <c r="I7" s="47">
        <v>2016.0</v>
      </c>
      <c r="J7" s="47">
        <v>12.0</v>
      </c>
      <c r="K7" s="49"/>
      <c r="L7" s="57" t="s">
        <v>129</v>
      </c>
      <c r="M7" s="57" t="s">
        <v>130</v>
      </c>
      <c r="N7" s="47">
        <v>65.0</v>
      </c>
      <c r="O7" s="49"/>
      <c r="P7" s="57" t="s">
        <v>131</v>
      </c>
      <c r="Q7" s="57" t="s">
        <v>132</v>
      </c>
      <c r="R7" s="54"/>
      <c r="S7" s="54"/>
      <c r="T7" s="106"/>
      <c r="U7" s="54"/>
      <c r="V7" s="54"/>
      <c r="W7" s="49"/>
      <c r="X7" s="62"/>
      <c r="Y7" s="5"/>
      <c r="Z7" s="5"/>
      <c r="AA7" s="5"/>
      <c r="AB7" s="5"/>
      <c r="AC7" s="5"/>
    </row>
    <row r="8" ht="22.5" customHeight="1">
      <c r="A8" s="16" t="s">
        <v>146</v>
      </c>
      <c r="B8" s="110" t="s">
        <v>147</v>
      </c>
      <c r="C8" s="107" t="s">
        <v>149</v>
      </c>
      <c r="D8" s="22" t="s">
        <v>151</v>
      </c>
      <c r="E8" s="24" t="s">
        <v>57</v>
      </c>
      <c r="F8" s="27" t="s">
        <v>59</v>
      </c>
      <c r="G8" s="30" t="s">
        <v>152</v>
      </c>
      <c r="H8" s="30">
        <v>4.5</v>
      </c>
      <c r="I8" s="31">
        <v>2017.0</v>
      </c>
      <c r="J8" s="31">
        <v>11.0</v>
      </c>
      <c r="K8" s="35"/>
      <c r="L8" s="38" t="s">
        <v>155</v>
      </c>
      <c r="M8" s="38" t="s">
        <v>157</v>
      </c>
      <c r="N8" s="31">
        <v>76.0</v>
      </c>
      <c r="O8" s="35"/>
      <c r="P8" s="38" t="s">
        <v>160</v>
      </c>
      <c r="Q8" s="38" t="s">
        <v>161</v>
      </c>
      <c r="R8" s="38" t="s">
        <v>77</v>
      </c>
      <c r="S8" s="19"/>
      <c r="T8" s="108" t="s">
        <v>143</v>
      </c>
      <c r="U8" s="19"/>
      <c r="V8" s="19"/>
      <c r="W8" s="31">
        <v>2.9225412E7</v>
      </c>
      <c r="X8" s="109" t="s">
        <v>163</v>
      </c>
      <c r="Y8" s="5"/>
      <c r="Z8" s="5"/>
      <c r="AA8" s="5"/>
      <c r="AB8" s="5"/>
      <c r="AC8" s="5"/>
    </row>
    <row r="9" ht="22.5" customHeight="1">
      <c r="A9" s="63" t="s">
        <v>168</v>
      </c>
      <c r="B9" s="92" t="s">
        <v>170</v>
      </c>
      <c r="C9" s="93"/>
      <c r="D9" s="111" t="s">
        <v>172</v>
      </c>
      <c r="E9" s="112" t="s">
        <v>57</v>
      </c>
      <c r="F9" s="27" t="s">
        <v>59</v>
      </c>
      <c r="G9" s="121" t="s">
        <v>173</v>
      </c>
      <c r="H9" s="121">
        <v>5.5</v>
      </c>
      <c r="I9" s="97">
        <v>2017.0</v>
      </c>
      <c r="J9" s="98"/>
      <c r="K9" s="98"/>
      <c r="L9" s="99" t="s">
        <v>180</v>
      </c>
      <c r="M9" s="99" t="s">
        <v>181</v>
      </c>
      <c r="N9" s="97">
        <v>9.0</v>
      </c>
      <c r="O9" s="97">
        <v>2.0</v>
      </c>
      <c r="P9" s="99" t="s">
        <v>182</v>
      </c>
      <c r="Q9" s="99" t="s">
        <v>183</v>
      </c>
      <c r="R9" s="93"/>
      <c r="S9" s="93"/>
      <c r="T9" s="100"/>
      <c r="U9" s="93"/>
      <c r="V9" s="93"/>
      <c r="W9" s="98"/>
      <c r="X9" s="102"/>
      <c r="Y9" s="5"/>
      <c r="Z9" s="5"/>
      <c r="AA9" s="5"/>
      <c r="AB9" s="5"/>
      <c r="AC9" s="5"/>
    </row>
    <row r="10" ht="22.5" customHeight="1">
      <c r="A10" s="16" t="s">
        <v>188</v>
      </c>
      <c r="B10" s="92" t="s">
        <v>148</v>
      </c>
      <c r="C10" s="93"/>
      <c r="D10" s="111" t="s">
        <v>150</v>
      </c>
      <c r="E10" s="112" t="s">
        <v>60</v>
      </c>
      <c r="F10" s="27" t="s">
        <v>62</v>
      </c>
      <c r="G10" s="121" t="s">
        <v>189</v>
      </c>
      <c r="H10" s="121">
        <v>7.0</v>
      </c>
      <c r="I10" s="97">
        <v>2017.0</v>
      </c>
      <c r="J10" s="98"/>
      <c r="K10" s="98"/>
      <c r="L10" s="99" t="s">
        <v>153</v>
      </c>
      <c r="M10" s="99" t="s">
        <v>154</v>
      </c>
      <c r="N10" s="97">
        <v>24.0</v>
      </c>
      <c r="O10" s="97">
        <v>11.0</v>
      </c>
      <c r="P10" s="99" t="s">
        <v>156</v>
      </c>
      <c r="Q10" s="99" t="s">
        <v>158</v>
      </c>
      <c r="R10" s="93"/>
      <c r="S10" s="93"/>
      <c r="T10" s="100"/>
      <c r="U10" s="93"/>
      <c r="V10" s="93"/>
      <c r="W10" s="98"/>
      <c r="X10" s="102"/>
      <c r="Y10" s="5"/>
      <c r="Z10" s="5"/>
      <c r="AA10" s="5"/>
      <c r="AB10" s="5"/>
      <c r="AC10" s="5"/>
    </row>
    <row r="11" ht="22.5" customHeight="1">
      <c r="A11" s="63" t="s">
        <v>196</v>
      </c>
      <c r="B11" s="17" t="s">
        <v>169</v>
      </c>
      <c r="C11" s="19"/>
      <c r="D11" s="22" t="s">
        <v>171</v>
      </c>
      <c r="E11" s="24" t="s">
        <v>60</v>
      </c>
      <c r="F11" s="27" t="s">
        <v>62</v>
      </c>
      <c r="G11" s="29"/>
      <c r="H11" s="29">
        <v>8.0</v>
      </c>
      <c r="I11" s="31">
        <v>2017.0</v>
      </c>
      <c r="J11" s="35"/>
      <c r="K11" s="35"/>
      <c r="L11" s="38" t="s">
        <v>174</v>
      </c>
      <c r="M11" s="38" t="s">
        <v>175</v>
      </c>
      <c r="N11" s="31">
        <v>11.0</v>
      </c>
      <c r="O11" s="31">
        <v>2.0</v>
      </c>
      <c r="P11" s="38" t="s">
        <v>177</v>
      </c>
      <c r="Q11" s="38" t="s">
        <v>179</v>
      </c>
      <c r="R11" s="19"/>
      <c r="S11" s="19"/>
      <c r="T11" s="46"/>
      <c r="U11" s="19"/>
      <c r="V11" s="19"/>
      <c r="W11" s="35"/>
      <c r="X11" s="50"/>
      <c r="Y11" s="122"/>
      <c r="Z11" s="122"/>
      <c r="AA11" s="122"/>
      <c r="AB11" s="122"/>
      <c r="AC11" s="122"/>
      <c r="AD11" s="123"/>
    </row>
    <row r="12" ht="22.5" customHeight="1">
      <c r="A12" s="16" t="s">
        <v>204</v>
      </c>
      <c r="B12" s="124" t="s">
        <v>120</v>
      </c>
      <c r="C12" s="103" t="s">
        <v>121</v>
      </c>
      <c r="D12" s="111" t="s">
        <v>122</v>
      </c>
      <c r="E12" s="112" t="s">
        <v>60</v>
      </c>
      <c r="F12" s="27" t="s">
        <v>62</v>
      </c>
      <c r="G12" s="121"/>
      <c r="H12" s="121">
        <v>8.0</v>
      </c>
      <c r="I12" s="97">
        <v>2018.0</v>
      </c>
      <c r="J12" s="97">
        <v>6.0</v>
      </c>
      <c r="K12" s="98"/>
      <c r="L12" s="99" t="s">
        <v>123</v>
      </c>
      <c r="M12" s="93"/>
      <c r="N12" s="97">
        <v>9.0</v>
      </c>
      <c r="O12" s="97">
        <v>1.0</v>
      </c>
      <c r="P12" s="93"/>
      <c r="Q12" s="99" t="s">
        <v>124</v>
      </c>
      <c r="R12" s="93"/>
      <c r="S12" s="93"/>
      <c r="T12" s="100"/>
      <c r="U12" s="93"/>
      <c r="V12" s="93"/>
      <c r="W12" s="98"/>
      <c r="X12" s="102"/>
      <c r="Y12" s="5"/>
      <c r="Z12" s="5"/>
      <c r="AA12" s="5"/>
      <c r="AB12" s="5"/>
      <c r="AC12" s="5"/>
    </row>
    <row r="13" ht="22.5" customHeight="1">
      <c r="A13" s="63" t="s">
        <v>213</v>
      </c>
      <c r="B13" s="128" t="s">
        <v>214</v>
      </c>
      <c r="C13" s="33" t="s">
        <v>215</v>
      </c>
      <c r="D13" s="40" t="s">
        <v>218</v>
      </c>
      <c r="E13" s="42" t="s">
        <v>57</v>
      </c>
      <c r="F13" s="27" t="s">
        <v>59</v>
      </c>
      <c r="G13" s="66" t="s">
        <v>219</v>
      </c>
      <c r="H13" s="66">
        <v>5.5</v>
      </c>
      <c r="I13" s="47">
        <v>2018.0</v>
      </c>
      <c r="J13" s="47">
        <v>5.0</v>
      </c>
      <c r="K13" s="47">
        <v>26.0</v>
      </c>
      <c r="L13" s="57" t="s">
        <v>72</v>
      </c>
      <c r="M13" s="57" t="s">
        <v>73</v>
      </c>
      <c r="N13" s="47">
        <v>15.0</v>
      </c>
      <c r="O13" s="47">
        <v>6.0</v>
      </c>
      <c r="P13" s="54"/>
      <c r="Q13" s="57" t="s">
        <v>220</v>
      </c>
      <c r="R13" s="57" t="s">
        <v>77</v>
      </c>
      <c r="S13" s="54"/>
      <c r="T13" s="129" t="s">
        <v>79</v>
      </c>
      <c r="U13" s="54"/>
      <c r="V13" s="57" t="s">
        <v>221</v>
      </c>
      <c r="W13" s="47">
        <v>2.9861439E7</v>
      </c>
      <c r="X13" s="130" t="s">
        <v>222</v>
      </c>
      <c r="Y13" s="5"/>
      <c r="Z13" s="5"/>
      <c r="AA13" s="5"/>
      <c r="AB13" s="5"/>
      <c r="AC13" s="5"/>
    </row>
    <row r="14" ht="22.5" customHeight="1">
      <c r="A14" s="16" t="s">
        <v>229</v>
      </c>
      <c r="B14" s="126" t="s">
        <v>195</v>
      </c>
      <c r="C14" s="21" t="s">
        <v>197</v>
      </c>
      <c r="D14" s="25" t="s">
        <v>197</v>
      </c>
      <c r="E14" s="28" t="s">
        <v>60</v>
      </c>
      <c r="F14" s="27" t="s">
        <v>62</v>
      </c>
      <c r="G14" s="30" t="s">
        <v>232</v>
      </c>
      <c r="H14" s="30">
        <v>6.5</v>
      </c>
      <c r="I14" s="53">
        <v>2018.0</v>
      </c>
      <c r="J14" s="39"/>
      <c r="K14" s="39"/>
      <c r="L14" s="58"/>
      <c r="M14" s="58"/>
      <c r="N14" s="39"/>
      <c r="O14" s="39"/>
      <c r="P14" s="56" t="s">
        <v>198</v>
      </c>
      <c r="Q14" s="56" t="s">
        <v>199</v>
      </c>
      <c r="R14" s="58"/>
      <c r="S14" s="56" t="s">
        <v>78</v>
      </c>
      <c r="T14" s="78" t="s">
        <v>80</v>
      </c>
      <c r="U14" s="58"/>
      <c r="V14" s="56" t="s">
        <v>200</v>
      </c>
      <c r="W14" s="39"/>
      <c r="X14" s="79"/>
      <c r="Y14" s="5"/>
      <c r="Z14" s="5"/>
      <c r="AA14" s="5"/>
      <c r="AB14" s="5"/>
      <c r="AC14" s="5"/>
    </row>
    <row r="15" ht="22.5" customHeight="1">
      <c r="A15" s="63" t="s">
        <v>241</v>
      </c>
      <c r="B15" s="88" t="s">
        <v>205</v>
      </c>
      <c r="C15" s="107" t="s">
        <v>206</v>
      </c>
      <c r="D15" s="22" t="s">
        <v>206</v>
      </c>
      <c r="E15" s="24" t="s">
        <v>60</v>
      </c>
      <c r="F15" s="27" t="s">
        <v>62</v>
      </c>
      <c r="G15" s="29"/>
      <c r="H15" s="29">
        <v>7.5</v>
      </c>
      <c r="I15" s="31">
        <v>2018.0</v>
      </c>
      <c r="J15" s="31">
        <v>11.0</v>
      </c>
      <c r="K15" s="35"/>
      <c r="L15" s="38" t="s">
        <v>207</v>
      </c>
      <c r="M15" s="19"/>
      <c r="N15" s="31">
        <v>2.0</v>
      </c>
      <c r="O15" s="35"/>
      <c r="P15" s="19"/>
      <c r="Q15" s="38" t="s">
        <v>208</v>
      </c>
      <c r="R15" s="19"/>
      <c r="S15" s="38" t="s">
        <v>78</v>
      </c>
      <c r="T15" s="127" t="s">
        <v>80</v>
      </c>
      <c r="U15" s="19"/>
      <c r="V15" s="38" t="s">
        <v>209</v>
      </c>
      <c r="W15" s="35"/>
      <c r="X15" s="50"/>
      <c r="Y15" s="122"/>
      <c r="Z15" s="122"/>
      <c r="AA15" s="122"/>
      <c r="AB15" s="122"/>
      <c r="AC15" s="122"/>
      <c r="AD15" s="123"/>
    </row>
    <row r="16" ht="22.5" customHeight="1">
      <c r="A16" s="16" t="s">
        <v>255</v>
      </c>
      <c r="B16" s="131" t="s">
        <v>223</v>
      </c>
      <c r="C16" s="103" t="s">
        <v>224</v>
      </c>
      <c r="D16" s="111" t="s">
        <v>224</v>
      </c>
      <c r="E16" s="112" t="s">
        <v>60</v>
      </c>
      <c r="F16" s="27" t="s">
        <v>62</v>
      </c>
      <c r="G16" s="121"/>
      <c r="H16" s="121">
        <v>8.0</v>
      </c>
      <c r="I16" s="97">
        <v>2018.0</v>
      </c>
      <c r="J16" s="97">
        <v>11.0</v>
      </c>
      <c r="K16" s="98"/>
      <c r="L16" s="99" t="s">
        <v>207</v>
      </c>
      <c r="M16" s="93"/>
      <c r="N16" s="97">
        <v>2.0</v>
      </c>
      <c r="O16" s="98"/>
      <c r="P16" s="93"/>
      <c r="Q16" s="99" t="s">
        <v>225</v>
      </c>
      <c r="R16" s="93"/>
      <c r="S16" s="99" t="s">
        <v>78</v>
      </c>
      <c r="T16" s="132" t="s">
        <v>80</v>
      </c>
      <c r="U16" s="93"/>
      <c r="V16" s="99" t="s">
        <v>226</v>
      </c>
      <c r="W16" s="98"/>
      <c r="X16" s="102"/>
      <c r="Y16" s="5"/>
      <c r="Z16" s="5"/>
      <c r="AA16" s="5"/>
      <c r="AB16" s="5"/>
      <c r="AC16" s="5"/>
    </row>
    <row r="17" ht="22.5" customHeight="1">
      <c r="A17" s="63" t="s">
        <v>258</v>
      </c>
      <c r="B17" s="126" t="s">
        <v>259</v>
      </c>
      <c r="C17" s="139" t="s">
        <v>260</v>
      </c>
      <c r="D17" s="140"/>
      <c r="E17" s="141" t="s">
        <v>57</v>
      </c>
      <c r="F17" s="27" t="s">
        <v>59</v>
      </c>
      <c r="G17" s="29" t="s">
        <v>261</v>
      </c>
      <c r="H17" s="29">
        <v>5.5</v>
      </c>
      <c r="I17" s="53">
        <v>2019.0</v>
      </c>
      <c r="J17" s="39"/>
      <c r="K17" s="39"/>
      <c r="L17" s="56" t="s">
        <v>262</v>
      </c>
      <c r="M17" s="56" t="s">
        <v>263</v>
      </c>
      <c r="N17" s="53">
        <v>13.0</v>
      </c>
      <c r="O17" s="39"/>
      <c r="P17" s="56" t="s">
        <v>264</v>
      </c>
      <c r="Q17" s="56" t="s">
        <v>265</v>
      </c>
      <c r="R17" s="58"/>
      <c r="S17" s="58"/>
      <c r="T17" s="138"/>
      <c r="U17" s="58"/>
      <c r="V17" s="58"/>
      <c r="W17" s="39"/>
      <c r="X17" s="79"/>
      <c r="Y17" s="5"/>
      <c r="Z17" s="5"/>
      <c r="AA17" s="5"/>
      <c r="AB17" s="5"/>
      <c r="AC17" s="5"/>
    </row>
    <row r="18" ht="22.5" customHeight="1">
      <c r="A18" s="16" t="s">
        <v>266</v>
      </c>
      <c r="B18" s="136" t="s">
        <v>237</v>
      </c>
      <c r="C18" s="19"/>
      <c r="D18" s="22" t="s">
        <v>238</v>
      </c>
      <c r="E18" s="24" t="s">
        <v>60</v>
      </c>
      <c r="F18" s="27" t="s">
        <v>62</v>
      </c>
      <c r="G18" s="29" t="s">
        <v>267</v>
      </c>
      <c r="H18" s="29">
        <v>6.0</v>
      </c>
      <c r="I18" s="31">
        <v>2019.0</v>
      </c>
      <c r="J18" s="31">
        <v>12.0</v>
      </c>
      <c r="K18" s="35"/>
      <c r="L18" s="38" t="s">
        <v>239</v>
      </c>
      <c r="M18" s="38" t="s">
        <v>240</v>
      </c>
      <c r="N18" s="31">
        <v>70.0</v>
      </c>
      <c r="O18" s="31">
        <v>12.0</v>
      </c>
      <c r="P18" s="38" t="s">
        <v>242</v>
      </c>
      <c r="Q18" s="38" t="s">
        <v>243</v>
      </c>
      <c r="R18" s="19"/>
      <c r="S18" s="19"/>
      <c r="T18" s="46"/>
      <c r="U18" s="19"/>
      <c r="V18" s="19"/>
      <c r="W18" s="35"/>
      <c r="X18" s="50"/>
      <c r="Y18" s="122"/>
      <c r="Z18" s="122"/>
      <c r="AA18" s="122"/>
      <c r="AB18" s="122"/>
      <c r="AC18" s="122"/>
      <c r="AD18" s="123"/>
    </row>
    <row r="19" ht="22.5" customHeight="1">
      <c r="A19" s="63" t="s">
        <v>283</v>
      </c>
      <c r="B19" s="126" t="s">
        <v>251</v>
      </c>
      <c r="C19" s="58"/>
      <c r="D19" s="25" t="s">
        <v>252</v>
      </c>
      <c r="E19" s="28" t="s">
        <v>60</v>
      </c>
      <c r="F19" s="27" t="s">
        <v>62</v>
      </c>
      <c r="G19" s="30" t="s">
        <v>284</v>
      </c>
      <c r="H19" s="30">
        <v>7.5</v>
      </c>
      <c r="I19" s="53">
        <v>2019.0</v>
      </c>
      <c r="J19" s="53">
        <v>11.0</v>
      </c>
      <c r="K19" s="39"/>
      <c r="L19" s="56" t="s">
        <v>253</v>
      </c>
      <c r="M19" s="56" t="s">
        <v>254</v>
      </c>
      <c r="N19" s="53">
        <v>41.0</v>
      </c>
      <c r="O19" s="53">
        <v>8.0</v>
      </c>
      <c r="P19" s="56" t="s">
        <v>256</v>
      </c>
      <c r="Q19" s="56" t="s">
        <v>257</v>
      </c>
      <c r="R19" s="58"/>
      <c r="S19" s="58"/>
      <c r="T19" s="138"/>
      <c r="U19" s="58"/>
      <c r="V19" s="58"/>
      <c r="W19" s="39"/>
      <c r="X19" s="79"/>
      <c r="Y19" s="5"/>
      <c r="Z19" s="5"/>
      <c r="AA19" s="5"/>
      <c r="AB19" s="5"/>
      <c r="AC19" s="5"/>
    </row>
    <row r="20" ht="22.5" customHeight="1">
      <c r="A20" s="16" t="s">
        <v>293</v>
      </c>
      <c r="B20" s="88" t="s">
        <v>294</v>
      </c>
      <c r="C20" s="19"/>
      <c r="D20" s="22" t="s">
        <v>295</v>
      </c>
      <c r="E20" s="24" t="s">
        <v>57</v>
      </c>
      <c r="F20" s="27" t="s">
        <v>59</v>
      </c>
      <c r="G20" s="29" t="s">
        <v>296</v>
      </c>
      <c r="H20" s="29">
        <v>5.0</v>
      </c>
      <c r="I20" s="31">
        <v>2019.0</v>
      </c>
      <c r="J20" s="31">
        <v>4.0</v>
      </c>
      <c r="K20" s="35"/>
      <c r="L20" s="38" t="s">
        <v>129</v>
      </c>
      <c r="M20" s="38" t="s">
        <v>130</v>
      </c>
      <c r="N20" s="31">
        <v>93.0</v>
      </c>
      <c r="O20" s="35"/>
      <c r="P20" s="38" t="s">
        <v>297</v>
      </c>
      <c r="Q20" s="38" t="s">
        <v>298</v>
      </c>
      <c r="R20" s="19"/>
      <c r="S20" s="19"/>
      <c r="T20" s="46"/>
      <c r="U20" s="19"/>
      <c r="V20" s="19"/>
      <c r="W20" s="35"/>
      <c r="X20" s="50"/>
      <c r="Y20" s="5"/>
      <c r="Z20" s="5"/>
      <c r="AA20" s="5"/>
      <c r="AB20" s="5"/>
      <c r="AC20" s="5"/>
    </row>
    <row r="21" ht="22.5" customHeight="1">
      <c r="A21" s="63" t="s">
        <v>301</v>
      </c>
      <c r="B21" s="124" t="s">
        <v>101</v>
      </c>
      <c r="C21" s="113"/>
      <c r="D21" s="114" t="s">
        <v>102</v>
      </c>
      <c r="E21" s="115" t="s">
        <v>57</v>
      </c>
      <c r="F21" s="27" t="s">
        <v>59</v>
      </c>
      <c r="G21" s="66" t="s">
        <v>303</v>
      </c>
      <c r="H21" s="66">
        <v>4.0</v>
      </c>
      <c r="I21" s="116">
        <v>2020.0</v>
      </c>
      <c r="J21" s="116">
        <v>1.0</v>
      </c>
      <c r="K21" s="117"/>
      <c r="L21" s="118" t="s">
        <v>104</v>
      </c>
      <c r="M21" s="118" t="s">
        <v>105</v>
      </c>
      <c r="N21" s="116">
        <v>34.0</v>
      </c>
      <c r="O21" s="116">
        <v>1.0</v>
      </c>
      <c r="P21" s="118" t="s">
        <v>106</v>
      </c>
      <c r="Q21" s="118" t="s">
        <v>107</v>
      </c>
      <c r="R21" s="113"/>
      <c r="S21" s="113"/>
      <c r="T21" s="119"/>
      <c r="U21" s="113"/>
      <c r="V21" s="113"/>
      <c r="W21" s="117"/>
      <c r="X21" s="120"/>
      <c r="Y21" s="5"/>
      <c r="Z21" s="5"/>
      <c r="AA21" s="5"/>
      <c r="AB21" s="5"/>
      <c r="AC21" s="5"/>
    </row>
    <row r="22" ht="22.5" customHeight="1">
      <c r="A22" s="16" t="s">
        <v>309</v>
      </c>
      <c r="B22" s="74" t="s">
        <v>201</v>
      </c>
      <c r="C22" s="58"/>
      <c r="D22" s="25" t="s">
        <v>202</v>
      </c>
      <c r="E22" s="28" t="s">
        <v>60</v>
      </c>
      <c r="F22" s="27" t="s">
        <v>62</v>
      </c>
      <c r="G22" s="30"/>
      <c r="H22" s="30">
        <v>7.5</v>
      </c>
      <c r="I22" s="53">
        <v>2020.0</v>
      </c>
      <c r="J22" s="53">
        <v>1.0</v>
      </c>
      <c r="K22" s="39"/>
      <c r="L22" s="56" t="s">
        <v>192</v>
      </c>
      <c r="M22" s="56" t="s">
        <v>193</v>
      </c>
      <c r="N22" s="53">
        <v>6.0</v>
      </c>
      <c r="O22" s="53">
        <v>1.0</v>
      </c>
      <c r="P22" s="58"/>
      <c r="Q22" s="56" t="s">
        <v>203</v>
      </c>
      <c r="R22" s="58"/>
      <c r="S22" s="58"/>
      <c r="T22" s="138"/>
      <c r="U22" s="58"/>
      <c r="V22" s="58"/>
      <c r="W22" s="39"/>
      <c r="X22" s="79"/>
      <c r="Y22" s="5"/>
      <c r="Z22" s="5"/>
      <c r="AA22" s="5"/>
      <c r="AB22" s="5"/>
      <c r="AC22" s="5"/>
    </row>
    <row r="23" ht="22.5" customHeight="1">
      <c r="A23" s="63" t="s">
        <v>317</v>
      </c>
      <c r="B23" s="133" t="s">
        <v>268</v>
      </c>
      <c r="C23" s="103" t="s">
        <v>269</v>
      </c>
      <c r="D23" s="111" t="s">
        <v>270</v>
      </c>
      <c r="E23" s="112" t="s">
        <v>60</v>
      </c>
      <c r="F23" s="27" t="s">
        <v>62</v>
      </c>
      <c r="G23" s="30" t="s">
        <v>318</v>
      </c>
      <c r="H23" s="96">
        <v>7.5</v>
      </c>
      <c r="I23" s="97">
        <v>2020.0</v>
      </c>
      <c r="J23" s="97">
        <v>4.0</v>
      </c>
      <c r="K23" s="98"/>
      <c r="L23" s="99" t="s">
        <v>272</v>
      </c>
      <c r="M23" s="99" t="s">
        <v>274</v>
      </c>
      <c r="N23" s="97">
        <v>32.0</v>
      </c>
      <c r="O23" s="97">
        <v>2.0</v>
      </c>
      <c r="P23" s="99" t="s">
        <v>275</v>
      </c>
      <c r="Q23" s="99" t="s">
        <v>276</v>
      </c>
      <c r="R23" s="99" t="s">
        <v>77</v>
      </c>
      <c r="S23" s="93"/>
      <c r="T23" s="142" t="s">
        <v>143</v>
      </c>
      <c r="U23" s="93"/>
      <c r="V23" s="99" t="s">
        <v>277</v>
      </c>
      <c r="W23" s="97">
        <v>3.253948E7</v>
      </c>
      <c r="X23" s="143" t="s">
        <v>279</v>
      </c>
      <c r="Y23" s="5"/>
      <c r="Z23" s="5"/>
      <c r="AA23" s="5"/>
      <c r="AB23" s="5"/>
      <c r="AC23" s="5"/>
    </row>
    <row r="24" ht="22.5" customHeight="1">
      <c r="A24" s="16" t="s">
        <v>327</v>
      </c>
      <c r="B24" s="88" t="s">
        <v>328</v>
      </c>
      <c r="C24" s="107" t="s">
        <v>329</v>
      </c>
      <c r="D24" s="22" t="s">
        <v>330</v>
      </c>
      <c r="E24" s="24" t="s">
        <v>57</v>
      </c>
      <c r="F24" s="27" t="s">
        <v>59</v>
      </c>
      <c r="G24" s="29" t="s">
        <v>331</v>
      </c>
      <c r="H24" s="29">
        <v>5.5</v>
      </c>
      <c r="I24" s="31">
        <v>2020.0</v>
      </c>
      <c r="J24" s="31">
        <v>10.0</v>
      </c>
      <c r="K24" s="35"/>
      <c r="L24" s="38" t="s">
        <v>332</v>
      </c>
      <c r="M24" s="38" t="s">
        <v>333</v>
      </c>
      <c r="N24" s="31">
        <v>23.0</v>
      </c>
      <c r="O24" s="35"/>
      <c r="P24" s="38" t="s">
        <v>334</v>
      </c>
      <c r="Q24" s="38" t="s">
        <v>335</v>
      </c>
      <c r="R24" s="38" t="s">
        <v>77</v>
      </c>
      <c r="S24" s="19"/>
      <c r="T24" s="145" t="s">
        <v>79</v>
      </c>
      <c r="U24" s="19"/>
      <c r="V24" s="38" t="s">
        <v>336</v>
      </c>
      <c r="W24" s="31">
        <v>3.3000904E7</v>
      </c>
      <c r="X24" s="109" t="s">
        <v>337</v>
      </c>
      <c r="Y24" s="5"/>
      <c r="Z24" s="5"/>
      <c r="AA24" s="5"/>
      <c r="AB24" s="5"/>
      <c r="AC24" s="5"/>
    </row>
    <row r="25" ht="22.5" customHeight="1">
      <c r="A25" s="63" t="s">
        <v>338</v>
      </c>
      <c r="B25" s="128" t="s">
        <v>339</v>
      </c>
      <c r="C25" s="33" t="s">
        <v>340</v>
      </c>
      <c r="D25" s="40" t="s">
        <v>340</v>
      </c>
      <c r="E25" s="42" t="s">
        <v>57</v>
      </c>
      <c r="F25" s="27" t="s">
        <v>59</v>
      </c>
      <c r="G25" s="66" t="s">
        <v>341</v>
      </c>
      <c r="H25" s="66">
        <v>5.0</v>
      </c>
      <c r="I25" s="47">
        <v>2020.0</v>
      </c>
      <c r="J25" s="49"/>
      <c r="K25" s="49"/>
      <c r="L25" s="54"/>
      <c r="M25" s="54"/>
      <c r="N25" s="49"/>
      <c r="O25" s="49"/>
      <c r="P25" s="57" t="s">
        <v>344</v>
      </c>
      <c r="Q25" s="57" t="s">
        <v>345</v>
      </c>
      <c r="R25" s="54"/>
      <c r="S25" s="57" t="s">
        <v>78</v>
      </c>
      <c r="T25" s="60" t="s">
        <v>80</v>
      </c>
      <c r="U25" s="54"/>
      <c r="V25" s="57" t="s">
        <v>346</v>
      </c>
      <c r="W25" s="49"/>
      <c r="X25" s="62"/>
      <c r="Y25" s="5"/>
      <c r="Z25" s="5"/>
      <c r="AA25" s="5"/>
      <c r="AB25" s="5"/>
      <c r="AC25" s="5"/>
    </row>
    <row r="26" ht="22.5" customHeight="1">
      <c r="A26" s="16" t="s">
        <v>349</v>
      </c>
      <c r="B26" s="88" t="s">
        <v>285</v>
      </c>
      <c r="C26" s="107" t="s">
        <v>287</v>
      </c>
      <c r="D26" s="22" t="s">
        <v>287</v>
      </c>
      <c r="E26" s="24" t="s">
        <v>60</v>
      </c>
      <c r="F26" s="27" t="s">
        <v>62</v>
      </c>
      <c r="G26" s="29"/>
      <c r="H26" s="29">
        <v>8.0</v>
      </c>
      <c r="I26" s="31">
        <v>2020.0</v>
      </c>
      <c r="J26" s="31">
        <v>10.0</v>
      </c>
      <c r="K26" s="35"/>
      <c r="L26" s="38" t="s">
        <v>207</v>
      </c>
      <c r="M26" s="19"/>
      <c r="N26" s="31">
        <v>4.0</v>
      </c>
      <c r="O26" s="35"/>
      <c r="P26" s="19"/>
      <c r="Q26" s="38" t="s">
        <v>289</v>
      </c>
      <c r="R26" s="19"/>
      <c r="S26" s="38" t="s">
        <v>78</v>
      </c>
      <c r="T26" s="127" t="s">
        <v>80</v>
      </c>
      <c r="U26" s="19"/>
      <c r="V26" s="38" t="s">
        <v>291</v>
      </c>
      <c r="W26" s="35"/>
      <c r="X26" s="50"/>
      <c r="Y26" s="5"/>
      <c r="Z26" s="5"/>
      <c r="AA26" s="5"/>
      <c r="AB26" s="5"/>
      <c r="AC26" s="5"/>
    </row>
    <row r="27" ht="22.5" customHeight="1">
      <c r="A27" s="63" t="s">
        <v>363</v>
      </c>
      <c r="B27" s="136" t="s">
        <v>299</v>
      </c>
      <c r="C27" s="107" t="s">
        <v>300</v>
      </c>
      <c r="D27" s="22" t="s">
        <v>302</v>
      </c>
      <c r="E27" s="24" t="s">
        <v>60</v>
      </c>
      <c r="F27" s="27" t="s">
        <v>62</v>
      </c>
      <c r="G27" s="29"/>
      <c r="H27" s="29">
        <v>8.0</v>
      </c>
      <c r="I27" s="31">
        <v>2020.0</v>
      </c>
      <c r="J27" s="31">
        <v>3.0</v>
      </c>
      <c r="K27" s="35"/>
      <c r="L27" s="38" t="s">
        <v>304</v>
      </c>
      <c r="M27" s="38" t="s">
        <v>305</v>
      </c>
      <c r="N27" s="31">
        <v>66.0</v>
      </c>
      <c r="O27" s="31">
        <v>3.0</v>
      </c>
      <c r="P27" s="38" t="s">
        <v>306</v>
      </c>
      <c r="Q27" s="38" t="s">
        <v>307</v>
      </c>
      <c r="R27" s="38" t="s">
        <v>77</v>
      </c>
      <c r="S27" s="19"/>
      <c r="T27" s="108" t="s">
        <v>143</v>
      </c>
      <c r="U27" s="19"/>
      <c r="V27" s="38" t="s">
        <v>308</v>
      </c>
      <c r="W27" s="31">
        <v>3.1690534E7</v>
      </c>
      <c r="X27" s="50"/>
      <c r="Y27" s="5"/>
      <c r="Z27" s="5"/>
      <c r="AA27" s="5"/>
      <c r="AB27" s="5"/>
      <c r="AC27" s="5"/>
    </row>
    <row r="28" ht="22.5" customHeight="1">
      <c r="A28" s="16" t="s">
        <v>376</v>
      </c>
      <c r="B28" s="131" t="s">
        <v>377</v>
      </c>
      <c r="C28" s="93"/>
      <c r="D28" s="111" t="s">
        <v>378</v>
      </c>
      <c r="E28" s="112" t="s">
        <v>57</v>
      </c>
      <c r="F28" s="27" t="s">
        <v>59</v>
      </c>
      <c r="G28" s="121"/>
      <c r="H28" s="121">
        <v>3.5</v>
      </c>
      <c r="I28" s="97">
        <v>2020.0</v>
      </c>
      <c r="J28" s="98"/>
      <c r="K28" s="98"/>
      <c r="L28" s="99" t="s">
        <v>379</v>
      </c>
      <c r="M28" s="99" t="s">
        <v>380</v>
      </c>
      <c r="N28" s="97">
        <v>36.0</v>
      </c>
      <c r="O28" s="97">
        <v>1.0</v>
      </c>
      <c r="P28" s="99" t="s">
        <v>381</v>
      </c>
      <c r="Q28" s="99" t="s">
        <v>382</v>
      </c>
      <c r="R28" s="93"/>
      <c r="S28" s="93"/>
      <c r="T28" s="100"/>
      <c r="U28" s="93"/>
      <c r="V28" s="93"/>
      <c r="W28" s="98"/>
      <c r="X28" s="102"/>
      <c r="Y28" s="5"/>
      <c r="Z28" s="5"/>
      <c r="AA28" s="5"/>
      <c r="AB28" s="5"/>
      <c r="AC28" s="5"/>
    </row>
    <row r="29" ht="22.5" customHeight="1">
      <c r="A29" s="63" t="s">
        <v>388</v>
      </c>
      <c r="B29" s="124" t="s">
        <v>190</v>
      </c>
      <c r="C29" s="54"/>
      <c r="D29" s="40" t="s">
        <v>191</v>
      </c>
      <c r="E29" s="42" t="s">
        <v>57</v>
      </c>
      <c r="F29" s="27" t="s">
        <v>59</v>
      </c>
      <c r="G29" s="66" t="s">
        <v>389</v>
      </c>
      <c r="H29" s="66">
        <v>5.5</v>
      </c>
      <c r="I29" s="47">
        <v>2021.0</v>
      </c>
      <c r="J29" s="47">
        <v>1.0</v>
      </c>
      <c r="K29" s="49"/>
      <c r="L29" s="57" t="s">
        <v>192</v>
      </c>
      <c r="M29" s="57" t="s">
        <v>193</v>
      </c>
      <c r="N29" s="47">
        <v>7.0</v>
      </c>
      <c r="O29" s="47">
        <v>1.0</v>
      </c>
      <c r="P29" s="54"/>
      <c r="Q29" s="57" t="s">
        <v>194</v>
      </c>
      <c r="R29" s="54"/>
      <c r="S29" s="54"/>
      <c r="T29" s="106"/>
      <c r="U29" s="54"/>
      <c r="V29" s="54"/>
      <c r="W29" s="49"/>
      <c r="X29" s="62"/>
      <c r="Y29" s="5"/>
      <c r="Z29" s="5"/>
      <c r="AA29" s="5"/>
      <c r="AB29" s="5"/>
      <c r="AC29" s="5"/>
    </row>
    <row r="30" ht="22.5" customHeight="1">
      <c r="A30" s="16" t="s">
        <v>400</v>
      </c>
      <c r="B30" s="146" t="s">
        <v>210</v>
      </c>
      <c r="C30" s="19"/>
      <c r="D30" s="22" t="s">
        <v>211</v>
      </c>
      <c r="E30" s="24" t="s">
        <v>60</v>
      </c>
      <c r="F30" s="27" t="s">
        <v>62</v>
      </c>
      <c r="G30" s="66"/>
      <c r="H30" s="160">
        <v>6.5</v>
      </c>
      <c r="I30" s="31">
        <v>2021.0</v>
      </c>
      <c r="J30" s="31">
        <v>1.0</v>
      </c>
      <c r="K30" s="35"/>
      <c r="L30" s="38" t="s">
        <v>66</v>
      </c>
      <c r="M30" s="38" t="s">
        <v>67</v>
      </c>
      <c r="N30" s="31">
        <v>23.0</v>
      </c>
      <c r="O30" s="31">
        <v>1.0</v>
      </c>
      <c r="P30" s="38" t="s">
        <v>216</v>
      </c>
      <c r="Q30" s="38" t="s">
        <v>217</v>
      </c>
      <c r="R30" s="19"/>
      <c r="S30" s="19"/>
      <c r="T30" s="46"/>
      <c r="U30" s="19"/>
      <c r="V30" s="19"/>
      <c r="W30" s="35"/>
      <c r="X30" s="50"/>
      <c r="Y30" s="5"/>
      <c r="Z30" s="5"/>
      <c r="AA30" s="5"/>
      <c r="AB30" s="5"/>
      <c r="AC30" s="5"/>
    </row>
    <row r="31" ht="22.5" customHeight="1">
      <c r="A31" s="63" t="s">
        <v>406</v>
      </c>
      <c r="B31" s="91" t="s">
        <v>227</v>
      </c>
      <c r="C31" s="21" t="s">
        <v>228</v>
      </c>
      <c r="D31" s="25" t="s">
        <v>230</v>
      </c>
      <c r="E31" s="28" t="s">
        <v>60</v>
      </c>
      <c r="F31" s="27" t="s">
        <v>62</v>
      </c>
      <c r="G31" s="66"/>
      <c r="H31" s="160">
        <v>7.0</v>
      </c>
      <c r="I31" s="53">
        <v>2021.0</v>
      </c>
      <c r="J31" s="53">
        <v>11.0</v>
      </c>
      <c r="K31" s="39"/>
      <c r="L31" s="56" t="s">
        <v>233</v>
      </c>
      <c r="M31" s="56" t="s">
        <v>234</v>
      </c>
      <c r="N31" s="53">
        <v>18.0</v>
      </c>
      <c r="O31" s="53">
        <v>5.0</v>
      </c>
      <c r="P31" s="147">
        <v>444.0</v>
      </c>
      <c r="Q31" s="56" t="s">
        <v>235</v>
      </c>
      <c r="R31" s="56" t="s">
        <v>77</v>
      </c>
      <c r="S31" s="58"/>
      <c r="T31" s="148" t="s">
        <v>236</v>
      </c>
      <c r="U31" s="58"/>
      <c r="V31" s="58"/>
      <c r="W31" s="53">
        <v>3.4823648E7</v>
      </c>
      <c r="X31" s="79"/>
      <c r="Y31" s="5"/>
      <c r="Z31" s="5"/>
      <c r="AA31" s="5"/>
      <c r="AB31" s="5"/>
      <c r="AC31" s="5"/>
    </row>
    <row r="32" ht="22.5" customHeight="1">
      <c r="A32" s="16" t="s">
        <v>410</v>
      </c>
      <c r="B32" s="131" t="s">
        <v>286</v>
      </c>
      <c r="C32" s="103" t="s">
        <v>288</v>
      </c>
      <c r="D32" s="111" t="s">
        <v>288</v>
      </c>
      <c r="E32" s="112" t="s">
        <v>60</v>
      </c>
      <c r="F32" s="27" t="s">
        <v>62</v>
      </c>
      <c r="G32" s="121"/>
      <c r="H32" s="121">
        <v>8.0</v>
      </c>
      <c r="I32" s="97">
        <v>2021.0</v>
      </c>
      <c r="J32" s="97">
        <v>1.0</v>
      </c>
      <c r="K32" s="98"/>
      <c r="L32" s="99" t="s">
        <v>207</v>
      </c>
      <c r="M32" s="93"/>
      <c r="N32" s="97">
        <v>4.0</v>
      </c>
      <c r="O32" s="98"/>
      <c r="P32" s="93"/>
      <c r="Q32" s="99" t="s">
        <v>290</v>
      </c>
      <c r="R32" s="93"/>
      <c r="S32" s="99" t="s">
        <v>78</v>
      </c>
      <c r="T32" s="132" t="s">
        <v>80</v>
      </c>
      <c r="U32" s="93"/>
      <c r="V32" s="99" t="s">
        <v>292</v>
      </c>
      <c r="W32" s="98"/>
      <c r="X32" s="102"/>
      <c r="Y32" s="5"/>
      <c r="Z32" s="5"/>
      <c r="AA32" s="5"/>
      <c r="AB32" s="5"/>
      <c r="AC32" s="5"/>
    </row>
    <row r="33" ht="22.5" customHeight="1">
      <c r="A33" s="63" t="s">
        <v>419</v>
      </c>
      <c r="B33" s="88" t="s">
        <v>319</v>
      </c>
      <c r="C33" s="107" t="s">
        <v>320</v>
      </c>
      <c r="D33" s="22" t="s">
        <v>320</v>
      </c>
      <c r="E33" s="24" t="s">
        <v>60</v>
      </c>
      <c r="F33" s="27" t="s">
        <v>62</v>
      </c>
      <c r="G33" s="121" t="s">
        <v>420</v>
      </c>
      <c r="H33" s="96">
        <v>6.5</v>
      </c>
      <c r="I33" s="31">
        <v>2021.0</v>
      </c>
      <c r="J33" s="31">
        <v>5.0</v>
      </c>
      <c r="K33" s="35"/>
      <c r="L33" s="38" t="s">
        <v>322</v>
      </c>
      <c r="M33" s="38" t="s">
        <v>323</v>
      </c>
      <c r="N33" s="31">
        <v>23.0</v>
      </c>
      <c r="O33" s="31">
        <v>1.0</v>
      </c>
      <c r="P33" s="38" t="s">
        <v>324</v>
      </c>
      <c r="Q33" s="38" t="s">
        <v>325</v>
      </c>
      <c r="R33" s="19"/>
      <c r="S33" s="38" t="s">
        <v>78</v>
      </c>
      <c r="T33" s="127" t="s">
        <v>80</v>
      </c>
      <c r="U33" s="19"/>
      <c r="V33" s="38" t="s">
        <v>326</v>
      </c>
      <c r="W33" s="35"/>
      <c r="X33" s="50"/>
      <c r="Y33" s="5"/>
      <c r="Z33" s="5"/>
      <c r="AA33" s="5"/>
      <c r="AB33" s="5"/>
      <c r="AC33" s="5"/>
    </row>
    <row r="34" ht="22.5" customHeight="1">
      <c r="A34" s="16" t="s">
        <v>425</v>
      </c>
      <c r="B34" s="118" t="s">
        <v>342</v>
      </c>
      <c r="C34" s="54"/>
      <c r="D34" s="40" t="s">
        <v>343</v>
      </c>
      <c r="E34" s="42" t="s">
        <v>57</v>
      </c>
      <c r="F34" s="27" t="s">
        <v>59</v>
      </c>
      <c r="G34" s="121" t="s">
        <v>427</v>
      </c>
      <c r="H34" s="121">
        <v>5.5</v>
      </c>
      <c r="I34" s="47">
        <v>2021.0</v>
      </c>
      <c r="J34" s="47">
        <v>4.0</v>
      </c>
      <c r="K34" s="49"/>
      <c r="L34" s="57" t="s">
        <v>253</v>
      </c>
      <c r="M34" s="57" t="s">
        <v>254</v>
      </c>
      <c r="N34" s="47">
        <v>43.0</v>
      </c>
      <c r="O34" s="47">
        <v>3.0</v>
      </c>
      <c r="P34" s="57" t="s">
        <v>347</v>
      </c>
      <c r="Q34" s="57" t="s">
        <v>348</v>
      </c>
      <c r="R34" s="54"/>
      <c r="S34" s="54"/>
      <c r="T34" s="106"/>
      <c r="U34" s="54"/>
      <c r="V34" s="54"/>
      <c r="W34" s="49"/>
      <c r="X34" s="62"/>
      <c r="Y34" s="5"/>
      <c r="Z34" s="5"/>
      <c r="AA34" s="5"/>
      <c r="AB34" s="5"/>
      <c r="AC34" s="5"/>
    </row>
    <row r="35" ht="22.5" customHeight="1">
      <c r="A35" s="63" t="s">
        <v>431</v>
      </c>
      <c r="B35" s="126" t="s">
        <v>362</v>
      </c>
      <c r="C35" s="58"/>
      <c r="D35" s="25" t="s">
        <v>364</v>
      </c>
      <c r="E35" s="28" t="s">
        <v>60</v>
      </c>
      <c r="F35" s="27" t="s">
        <v>62</v>
      </c>
      <c r="G35" s="30" t="s">
        <v>432</v>
      </c>
      <c r="H35" s="30">
        <v>6.0</v>
      </c>
      <c r="I35" s="53">
        <v>2021.0</v>
      </c>
      <c r="J35" s="53">
        <v>5.0</v>
      </c>
      <c r="K35" s="39"/>
      <c r="L35" s="56" t="s">
        <v>365</v>
      </c>
      <c r="M35" s="56" t="s">
        <v>366</v>
      </c>
      <c r="N35" s="53">
        <v>24.0</v>
      </c>
      <c r="O35" s="53">
        <v>3.0</v>
      </c>
      <c r="P35" s="56" t="s">
        <v>369</v>
      </c>
      <c r="Q35" s="56" t="s">
        <v>370</v>
      </c>
      <c r="R35" s="58"/>
      <c r="S35" s="58"/>
      <c r="T35" s="138"/>
      <c r="U35" s="58"/>
      <c r="V35" s="58"/>
      <c r="W35" s="39"/>
      <c r="X35" s="79"/>
      <c r="Y35" s="5"/>
      <c r="Z35" s="5"/>
      <c r="AA35" s="5"/>
      <c r="AB35" s="5"/>
      <c r="AC35" s="5"/>
    </row>
    <row r="36" ht="22.5" customHeight="1">
      <c r="A36" s="16" t="s">
        <v>437</v>
      </c>
      <c r="B36" s="133" t="s">
        <v>372</v>
      </c>
      <c r="C36" s="103" t="s">
        <v>373</v>
      </c>
      <c r="D36" s="111" t="s">
        <v>373</v>
      </c>
      <c r="E36" s="112" t="s">
        <v>60</v>
      </c>
      <c r="F36" s="27" t="s">
        <v>62</v>
      </c>
      <c r="G36" s="121"/>
      <c r="H36" s="121">
        <v>8.0</v>
      </c>
      <c r="I36" s="97">
        <v>2021.0</v>
      </c>
      <c r="J36" s="98"/>
      <c r="K36" s="98"/>
      <c r="L36" s="93"/>
      <c r="M36" s="93"/>
      <c r="N36" s="98"/>
      <c r="O36" s="98"/>
      <c r="P36" s="93"/>
      <c r="Q36" s="99" t="s">
        <v>374</v>
      </c>
      <c r="R36" s="93"/>
      <c r="S36" s="99" t="s">
        <v>78</v>
      </c>
      <c r="T36" s="132" t="s">
        <v>80</v>
      </c>
      <c r="U36" s="93"/>
      <c r="V36" s="99" t="s">
        <v>375</v>
      </c>
      <c r="W36" s="98"/>
      <c r="X36" s="102"/>
      <c r="Y36" s="5"/>
      <c r="Z36" s="5"/>
      <c r="AA36" s="5"/>
      <c r="AB36" s="5"/>
      <c r="AC36" s="5"/>
    </row>
    <row r="37" ht="22.5" customHeight="1">
      <c r="A37" s="63" t="s">
        <v>441</v>
      </c>
      <c r="B37" s="128" t="s">
        <v>442</v>
      </c>
      <c r="C37" s="33" t="s">
        <v>443</v>
      </c>
      <c r="D37" s="40" t="s">
        <v>444</v>
      </c>
      <c r="E37" s="42" t="s">
        <v>445</v>
      </c>
      <c r="F37" s="27"/>
      <c r="G37" s="66"/>
      <c r="H37" s="66"/>
      <c r="I37" s="47">
        <v>2021.0</v>
      </c>
      <c r="J37" s="47">
        <v>11.0</v>
      </c>
      <c r="K37" s="49"/>
      <c r="L37" s="57" t="s">
        <v>233</v>
      </c>
      <c r="M37" s="57" t="s">
        <v>234</v>
      </c>
      <c r="N37" s="47">
        <v>18.0</v>
      </c>
      <c r="O37" s="47">
        <v>5.0</v>
      </c>
      <c r="P37" s="57" t="s">
        <v>446</v>
      </c>
      <c r="Q37" s="57" t="s">
        <v>235</v>
      </c>
      <c r="R37" s="57" t="s">
        <v>77</v>
      </c>
      <c r="S37" s="54"/>
      <c r="T37" s="164" t="s">
        <v>236</v>
      </c>
      <c r="U37" s="54"/>
      <c r="V37" s="57" t="s">
        <v>447</v>
      </c>
      <c r="W37" s="47">
        <v>3.4706814E7</v>
      </c>
      <c r="X37" s="62"/>
      <c r="Y37" s="5"/>
      <c r="Z37" s="5"/>
      <c r="AA37" s="5"/>
      <c r="AB37" s="5"/>
      <c r="AC37" s="5"/>
    </row>
    <row r="38" ht="22.5" customHeight="1">
      <c r="A38" s="16" t="s">
        <v>448</v>
      </c>
      <c r="B38" s="88" t="s">
        <v>384</v>
      </c>
      <c r="C38" s="19"/>
      <c r="D38" s="22" t="s">
        <v>385</v>
      </c>
      <c r="E38" s="24" t="s">
        <v>60</v>
      </c>
      <c r="F38" s="27" t="s">
        <v>62</v>
      </c>
      <c r="G38" s="29"/>
      <c r="H38" s="29">
        <v>8.0</v>
      </c>
      <c r="I38" s="31">
        <v>2021.0</v>
      </c>
      <c r="J38" s="31">
        <v>4.0</v>
      </c>
      <c r="K38" s="35"/>
      <c r="L38" s="38" t="s">
        <v>184</v>
      </c>
      <c r="M38" s="38" t="s">
        <v>185</v>
      </c>
      <c r="N38" s="31">
        <v>21.0</v>
      </c>
      <c r="O38" s="31">
        <v>3.0</v>
      </c>
      <c r="P38" s="38" t="s">
        <v>386</v>
      </c>
      <c r="Q38" s="38" t="s">
        <v>387</v>
      </c>
      <c r="R38" s="19"/>
      <c r="S38" s="19"/>
      <c r="T38" s="46"/>
      <c r="U38" s="19"/>
      <c r="V38" s="19"/>
      <c r="W38" s="35"/>
      <c r="X38" s="50"/>
      <c r="Y38" s="5"/>
      <c r="Z38" s="5"/>
      <c r="AA38" s="5"/>
      <c r="AB38" s="5"/>
      <c r="AC38" s="5"/>
    </row>
    <row r="39" ht="22.5" customHeight="1">
      <c r="A39" s="63" t="s">
        <v>450</v>
      </c>
      <c r="B39" s="133" t="s">
        <v>391</v>
      </c>
      <c r="C39" s="154" t="s">
        <v>392</v>
      </c>
      <c r="D39" s="156" t="s">
        <v>393</v>
      </c>
      <c r="E39" s="157" t="s">
        <v>60</v>
      </c>
      <c r="F39" s="27" t="s">
        <v>62</v>
      </c>
      <c r="G39" s="165" t="s">
        <v>453</v>
      </c>
      <c r="H39" s="165">
        <v>8.0</v>
      </c>
      <c r="I39" s="158">
        <v>2021.0</v>
      </c>
      <c r="J39" s="158">
        <v>3.0</v>
      </c>
      <c r="K39" s="158">
        <v>12.0</v>
      </c>
      <c r="L39" s="92" t="s">
        <v>394</v>
      </c>
      <c r="M39" s="92" t="s">
        <v>395</v>
      </c>
      <c r="N39" s="158">
        <v>36.0</v>
      </c>
      <c r="O39" s="158">
        <v>1.0</v>
      </c>
      <c r="P39" s="92" t="s">
        <v>396</v>
      </c>
      <c r="Q39" s="92" t="s">
        <v>397</v>
      </c>
      <c r="R39" s="92" t="s">
        <v>77</v>
      </c>
      <c r="S39" s="93"/>
      <c r="T39" s="159" t="s">
        <v>398</v>
      </c>
      <c r="U39" s="93"/>
      <c r="V39" s="92" t="s">
        <v>399</v>
      </c>
      <c r="W39" s="158">
        <v>3.2577721E7</v>
      </c>
      <c r="X39" s="102"/>
      <c r="Y39" s="5"/>
      <c r="Z39" s="5"/>
      <c r="AA39" s="5"/>
      <c r="AB39" s="5"/>
      <c r="AC39" s="5"/>
    </row>
    <row r="40" ht="22.5" customHeight="1">
      <c r="A40" s="16" t="s">
        <v>462</v>
      </c>
      <c r="B40" s="161" t="s">
        <v>45</v>
      </c>
      <c r="C40" s="103" t="s">
        <v>46</v>
      </c>
      <c r="D40" s="111" t="s">
        <v>55</v>
      </c>
      <c r="E40" s="112" t="s">
        <v>60</v>
      </c>
      <c r="F40" s="27" t="s">
        <v>62</v>
      </c>
      <c r="G40" s="121"/>
      <c r="H40" s="121">
        <v>8.0</v>
      </c>
      <c r="I40" s="97">
        <v>2022.0</v>
      </c>
      <c r="J40" s="97">
        <v>5.0</v>
      </c>
      <c r="K40" s="97">
        <v>27.0</v>
      </c>
      <c r="L40" s="99" t="s">
        <v>72</v>
      </c>
      <c r="M40" s="99" t="s">
        <v>73</v>
      </c>
      <c r="N40" s="97">
        <v>19.0</v>
      </c>
      <c r="O40" s="97">
        <v>11.0</v>
      </c>
      <c r="P40" s="93"/>
      <c r="Q40" s="99" t="s">
        <v>76</v>
      </c>
      <c r="R40" s="99" t="s">
        <v>77</v>
      </c>
      <c r="S40" s="93"/>
      <c r="T40" s="162" t="s">
        <v>79</v>
      </c>
      <c r="U40" s="93"/>
      <c r="V40" s="99" t="s">
        <v>81</v>
      </c>
      <c r="W40" s="97">
        <v>3.5682144E7</v>
      </c>
      <c r="X40" s="143" t="s">
        <v>83</v>
      </c>
      <c r="Y40" s="5"/>
      <c r="Z40" s="5"/>
      <c r="AA40" s="5"/>
      <c r="AB40" s="5"/>
      <c r="AC40" s="5"/>
    </row>
    <row r="41" ht="22.5" customHeight="1">
      <c r="A41" s="63" t="s">
        <v>468</v>
      </c>
      <c r="B41" s="133" t="s">
        <v>310</v>
      </c>
      <c r="C41" s="103" t="s">
        <v>311</v>
      </c>
      <c r="D41" s="111" t="s">
        <v>312</v>
      </c>
      <c r="E41" s="112" t="s">
        <v>60</v>
      </c>
      <c r="F41" s="27" t="s">
        <v>62</v>
      </c>
      <c r="G41" s="121" t="s">
        <v>470</v>
      </c>
      <c r="H41" s="121">
        <v>6.5</v>
      </c>
      <c r="I41" s="97">
        <v>2022.0</v>
      </c>
      <c r="J41" s="98"/>
      <c r="K41" s="98"/>
      <c r="L41" s="99" t="s">
        <v>313</v>
      </c>
      <c r="M41" s="99" t="s">
        <v>314</v>
      </c>
      <c r="N41" s="97">
        <v>4.0</v>
      </c>
      <c r="O41" s="98"/>
      <c r="P41" s="134">
        <v>900695.0</v>
      </c>
      <c r="Q41" s="99" t="s">
        <v>315</v>
      </c>
      <c r="R41" s="99" t="s">
        <v>77</v>
      </c>
      <c r="S41" s="93"/>
      <c r="T41" s="162" t="s">
        <v>79</v>
      </c>
      <c r="U41" s="93"/>
      <c r="V41" s="93"/>
      <c r="W41" s="97">
        <v>3.5832658E7</v>
      </c>
      <c r="X41" s="143" t="s">
        <v>316</v>
      </c>
      <c r="Y41" s="5"/>
      <c r="Z41" s="5"/>
      <c r="AA41" s="5"/>
      <c r="AB41" s="5"/>
      <c r="AC41" s="5"/>
    </row>
    <row r="42" ht="22.5" customHeight="1">
      <c r="A42" s="16" t="s">
        <v>473</v>
      </c>
      <c r="B42" s="144" t="s">
        <v>417</v>
      </c>
      <c r="C42" s="58"/>
      <c r="D42" s="25" t="s">
        <v>418</v>
      </c>
      <c r="E42" s="28" t="s">
        <v>60</v>
      </c>
      <c r="F42" s="27" t="s">
        <v>62</v>
      </c>
      <c r="G42" s="30" t="s">
        <v>477</v>
      </c>
      <c r="H42" s="30">
        <v>6.0</v>
      </c>
      <c r="I42" s="53">
        <v>2022.0</v>
      </c>
      <c r="J42" s="39"/>
      <c r="K42" s="39"/>
      <c r="L42" s="56" t="s">
        <v>421</v>
      </c>
      <c r="M42" s="58"/>
      <c r="N42" s="53">
        <v>10.0</v>
      </c>
      <c r="O42" s="53">
        <v>2.0</v>
      </c>
      <c r="P42" s="56" t="s">
        <v>422</v>
      </c>
      <c r="Q42" s="56" t="s">
        <v>423</v>
      </c>
      <c r="R42" s="58"/>
      <c r="S42" s="58"/>
      <c r="T42" s="138"/>
      <c r="U42" s="58"/>
      <c r="V42" s="58"/>
      <c r="W42" s="39"/>
      <c r="X42" s="79"/>
      <c r="Y42" s="5"/>
      <c r="Z42" s="5"/>
      <c r="AA42" s="5"/>
      <c r="AB42" s="5"/>
      <c r="AC42" s="5"/>
    </row>
    <row r="43" ht="22.5" customHeight="1">
      <c r="A43" s="63" t="s">
        <v>482</v>
      </c>
      <c r="B43" s="131" t="s">
        <v>483</v>
      </c>
      <c r="C43" s="93"/>
      <c r="D43" s="111" t="s">
        <v>484</v>
      </c>
      <c r="E43" s="112" t="s">
        <v>57</v>
      </c>
      <c r="F43" s="27" t="s">
        <v>485</v>
      </c>
      <c r="G43" s="121" t="s">
        <v>486</v>
      </c>
      <c r="H43" s="121">
        <v>5.5</v>
      </c>
      <c r="I43" s="97">
        <v>2022.0</v>
      </c>
      <c r="J43" s="97">
        <v>8.0</v>
      </c>
      <c r="K43" s="98"/>
      <c r="L43" s="99" t="s">
        <v>66</v>
      </c>
      <c r="M43" s="99" t="s">
        <v>67</v>
      </c>
      <c r="N43" s="97">
        <v>24.0</v>
      </c>
      <c r="O43" s="97">
        <v>8.0</v>
      </c>
      <c r="P43" s="99" t="s">
        <v>489</v>
      </c>
      <c r="Q43" s="99" t="s">
        <v>490</v>
      </c>
      <c r="R43" s="93"/>
      <c r="S43" s="93"/>
      <c r="T43" s="100"/>
      <c r="U43" s="93"/>
      <c r="V43" s="93"/>
      <c r="W43" s="98"/>
      <c r="X43" s="102"/>
      <c r="Y43" s="5"/>
      <c r="Z43" s="5"/>
      <c r="AA43" s="5"/>
      <c r="AB43" s="5"/>
      <c r="AC43" s="5"/>
    </row>
    <row r="44" ht="22.5" customHeight="1">
      <c r="A44" s="16" t="s">
        <v>493</v>
      </c>
      <c r="B44" s="144" t="s">
        <v>426</v>
      </c>
      <c r="C44" s="58"/>
      <c r="D44" s="25" t="s">
        <v>428</v>
      </c>
      <c r="E44" s="28" t="s">
        <v>60</v>
      </c>
      <c r="F44" s="27" t="s">
        <v>62</v>
      </c>
      <c r="G44" s="30"/>
      <c r="H44" s="30">
        <v>8.0</v>
      </c>
      <c r="I44" s="53">
        <v>2022.0</v>
      </c>
      <c r="J44" s="53">
        <v>1.0</v>
      </c>
      <c r="K44" s="39"/>
      <c r="L44" s="56" t="s">
        <v>253</v>
      </c>
      <c r="M44" s="56" t="s">
        <v>254</v>
      </c>
      <c r="N44" s="53">
        <v>44.0</v>
      </c>
      <c r="O44" s="53">
        <v>1.0</v>
      </c>
      <c r="P44" s="56" t="s">
        <v>429</v>
      </c>
      <c r="Q44" s="56" t="s">
        <v>430</v>
      </c>
      <c r="R44" s="58"/>
      <c r="S44" s="58"/>
      <c r="T44" s="138"/>
      <c r="U44" s="58"/>
      <c r="V44" s="58"/>
      <c r="W44" s="39"/>
      <c r="X44" s="79"/>
      <c r="Y44" s="5"/>
      <c r="Z44" s="5"/>
      <c r="AA44" s="5"/>
      <c r="AB44" s="5"/>
      <c r="AC44" s="5"/>
    </row>
    <row r="45" ht="22.5" customHeight="1">
      <c r="A45" s="63" t="s">
        <v>505</v>
      </c>
      <c r="B45" s="133" t="s">
        <v>506</v>
      </c>
      <c r="C45" s="93"/>
      <c r="D45" s="111" t="s">
        <v>508</v>
      </c>
      <c r="E45" s="112" t="s">
        <v>57</v>
      </c>
      <c r="F45" s="27" t="s">
        <v>485</v>
      </c>
      <c r="G45" s="121" t="s">
        <v>509</v>
      </c>
      <c r="H45" s="121">
        <v>4.0</v>
      </c>
      <c r="I45" s="97">
        <v>2022.0</v>
      </c>
      <c r="J45" s="97">
        <v>9.0</v>
      </c>
      <c r="K45" s="98"/>
      <c r="L45" s="99" t="s">
        <v>510</v>
      </c>
      <c r="M45" s="99" t="s">
        <v>511</v>
      </c>
      <c r="N45" s="97">
        <v>25.0</v>
      </c>
      <c r="O45" s="97">
        <v>12.0</v>
      </c>
      <c r="P45" s="99" t="s">
        <v>512</v>
      </c>
      <c r="Q45" s="99" t="s">
        <v>513</v>
      </c>
      <c r="R45" s="93"/>
      <c r="S45" s="93"/>
      <c r="T45" s="100"/>
      <c r="U45" s="93"/>
      <c r="V45" s="93"/>
      <c r="W45" s="98"/>
      <c r="X45" s="102"/>
      <c r="Y45" s="5"/>
      <c r="Z45" s="5"/>
      <c r="AA45" s="5"/>
      <c r="AB45" s="5"/>
      <c r="AC45" s="5"/>
    </row>
    <row r="46" ht="22.5" customHeight="1">
      <c r="A46" s="16" t="s">
        <v>516</v>
      </c>
      <c r="B46" s="161" t="s">
        <v>85</v>
      </c>
      <c r="C46" s="67" t="s">
        <v>86</v>
      </c>
      <c r="D46" s="68" t="s">
        <v>87</v>
      </c>
      <c r="E46" s="69" t="s">
        <v>57</v>
      </c>
      <c r="F46" s="27" t="s">
        <v>485</v>
      </c>
      <c r="G46" s="70" t="s">
        <v>520</v>
      </c>
      <c r="H46" s="70">
        <v>5.0</v>
      </c>
      <c r="I46" s="73">
        <v>2023.0</v>
      </c>
      <c r="J46" s="73">
        <v>6.0</v>
      </c>
      <c r="K46" s="73">
        <v>23.0</v>
      </c>
      <c r="L46" s="75" t="s">
        <v>90</v>
      </c>
      <c r="M46" s="75" t="s">
        <v>91</v>
      </c>
      <c r="N46" s="73">
        <v>25.0</v>
      </c>
      <c r="O46" s="49"/>
      <c r="P46" s="75" t="s">
        <v>92</v>
      </c>
      <c r="Q46" s="75" t="s">
        <v>93</v>
      </c>
      <c r="R46" s="75" t="s">
        <v>77</v>
      </c>
      <c r="S46" s="54"/>
      <c r="T46" s="76" t="s">
        <v>94</v>
      </c>
      <c r="U46" s="54"/>
      <c r="V46" s="75" t="s">
        <v>95</v>
      </c>
      <c r="W46" s="73">
        <v>3.735192E7</v>
      </c>
      <c r="X46" s="77" t="s">
        <v>96</v>
      </c>
      <c r="Y46" s="5"/>
      <c r="Z46" s="5"/>
      <c r="AA46" s="5"/>
      <c r="AB46" s="5"/>
      <c r="AC46" s="5"/>
    </row>
    <row r="47" ht="22.5" customHeight="1">
      <c r="A47" s="63" t="s">
        <v>522</v>
      </c>
      <c r="B47" s="74" t="s">
        <v>133</v>
      </c>
      <c r="C47" s="107" t="s">
        <v>134</v>
      </c>
      <c r="D47" s="22" t="s">
        <v>135</v>
      </c>
      <c r="E47" s="24" t="s">
        <v>57</v>
      </c>
      <c r="F47" s="27" t="s">
        <v>485</v>
      </c>
      <c r="G47" s="29" t="s">
        <v>523</v>
      </c>
      <c r="H47" s="29">
        <v>5.5</v>
      </c>
      <c r="I47" s="31">
        <v>2023.0</v>
      </c>
      <c r="J47" s="31">
        <v>7.0</v>
      </c>
      <c r="K47" s="31">
        <v>3.0</v>
      </c>
      <c r="L47" s="38" t="s">
        <v>139</v>
      </c>
      <c r="M47" s="38" t="s">
        <v>140</v>
      </c>
      <c r="N47" s="31">
        <v>6.0</v>
      </c>
      <c r="O47" s="31">
        <v>7.0</v>
      </c>
      <c r="P47" s="38" t="s">
        <v>141</v>
      </c>
      <c r="Q47" s="38" t="s">
        <v>142</v>
      </c>
      <c r="R47" s="38" t="s">
        <v>77</v>
      </c>
      <c r="S47" s="19"/>
      <c r="T47" s="108" t="s">
        <v>143</v>
      </c>
      <c r="U47" s="19"/>
      <c r="V47" s="38" t="s">
        <v>144</v>
      </c>
      <c r="W47" s="31">
        <v>3.7486631E7</v>
      </c>
      <c r="X47" s="109" t="s">
        <v>145</v>
      </c>
      <c r="Y47" s="5"/>
      <c r="Z47" s="5"/>
      <c r="AA47" s="5"/>
      <c r="AB47" s="5"/>
      <c r="AC47" s="5"/>
    </row>
    <row r="48" ht="22.5" customHeight="1">
      <c r="A48" s="16" t="s">
        <v>530</v>
      </c>
      <c r="B48" s="161" t="s">
        <v>159</v>
      </c>
      <c r="C48" s="113"/>
      <c r="D48" s="114" t="s">
        <v>162</v>
      </c>
      <c r="E48" s="115" t="s">
        <v>60</v>
      </c>
      <c r="F48" s="27" t="s">
        <v>62</v>
      </c>
      <c r="G48" s="66" t="s">
        <v>531</v>
      </c>
      <c r="H48" s="66">
        <v>6.5</v>
      </c>
      <c r="I48" s="116">
        <v>2023.0</v>
      </c>
      <c r="J48" s="116">
        <v>1.0</v>
      </c>
      <c r="K48" s="117"/>
      <c r="L48" s="118" t="s">
        <v>164</v>
      </c>
      <c r="M48" s="118" t="s">
        <v>165</v>
      </c>
      <c r="N48" s="116">
        <v>25.0</v>
      </c>
      <c r="O48" s="116">
        <v>1.0</v>
      </c>
      <c r="P48" s="118" t="s">
        <v>166</v>
      </c>
      <c r="Q48" s="118" t="s">
        <v>167</v>
      </c>
      <c r="R48" s="113"/>
      <c r="S48" s="113"/>
      <c r="T48" s="119"/>
      <c r="U48" s="113"/>
      <c r="V48" s="113"/>
      <c r="W48" s="117"/>
      <c r="X48" s="120"/>
      <c r="Y48" s="5"/>
      <c r="Z48" s="5"/>
      <c r="AA48" s="5"/>
      <c r="AB48" s="5"/>
      <c r="AC48" s="5"/>
    </row>
    <row r="49" ht="22.5" customHeight="1">
      <c r="A49" s="63" t="s">
        <v>537</v>
      </c>
      <c r="B49" s="131" t="s">
        <v>407</v>
      </c>
      <c r="C49" s="93"/>
      <c r="D49" s="111" t="s">
        <v>408</v>
      </c>
      <c r="E49" s="112" t="s">
        <v>60</v>
      </c>
      <c r="F49" s="27" t="s">
        <v>62</v>
      </c>
      <c r="G49" s="121" t="s">
        <v>538</v>
      </c>
      <c r="H49" s="121">
        <v>7.5</v>
      </c>
      <c r="I49" s="97">
        <v>2023.0</v>
      </c>
      <c r="J49" s="97">
        <v>6.0</v>
      </c>
      <c r="K49" s="98"/>
      <c r="L49" s="99" t="s">
        <v>129</v>
      </c>
      <c r="M49" s="99" t="s">
        <v>130</v>
      </c>
      <c r="N49" s="97">
        <v>143.0</v>
      </c>
      <c r="O49" s="98"/>
      <c r="P49" s="93"/>
      <c r="Q49" s="99" t="s">
        <v>409</v>
      </c>
      <c r="R49" s="93"/>
      <c r="S49" s="93"/>
      <c r="T49" s="100"/>
      <c r="U49" s="93"/>
      <c r="V49" s="93"/>
      <c r="W49" s="98"/>
      <c r="X49" s="102"/>
      <c r="Y49" s="5"/>
      <c r="Z49" s="5"/>
      <c r="AA49" s="5"/>
      <c r="AB49" s="5"/>
      <c r="AC49" s="5"/>
    </row>
    <row r="50" ht="22.5" customHeight="1">
      <c r="A50" s="16" t="s">
        <v>540</v>
      </c>
      <c r="B50" s="133" t="s">
        <v>411</v>
      </c>
      <c r="C50" s="93"/>
      <c r="D50" s="111" t="s">
        <v>412</v>
      </c>
      <c r="E50" s="112" t="s">
        <v>60</v>
      </c>
      <c r="F50" s="27" t="s">
        <v>62</v>
      </c>
      <c r="G50" s="121"/>
      <c r="H50" s="121">
        <v>7.0</v>
      </c>
      <c r="I50" s="97">
        <v>2023.0</v>
      </c>
      <c r="J50" s="97">
        <v>10.0</v>
      </c>
      <c r="K50" s="98"/>
      <c r="L50" s="99" t="s">
        <v>413</v>
      </c>
      <c r="M50" s="99" t="s">
        <v>414</v>
      </c>
      <c r="N50" s="97">
        <v>20.0</v>
      </c>
      <c r="O50" s="97">
        <v>4.0</v>
      </c>
      <c r="P50" s="99" t="s">
        <v>415</v>
      </c>
      <c r="Q50" s="99" t="s">
        <v>416</v>
      </c>
      <c r="R50" s="93"/>
      <c r="S50" s="93"/>
      <c r="T50" s="100"/>
      <c r="U50" s="93"/>
      <c r="V50" s="93"/>
      <c r="W50" s="98"/>
      <c r="X50" s="102"/>
      <c r="Y50" s="5"/>
      <c r="Z50" s="5"/>
      <c r="AA50" s="5"/>
      <c r="AB50" s="5"/>
      <c r="AC50" s="5"/>
    </row>
    <row r="51" ht="22.5" customHeight="1">
      <c r="A51" s="63" t="s">
        <v>541</v>
      </c>
      <c r="B51" s="144" t="s">
        <v>455</v>
      </c>
      <c r="C51" s="58"/>
      <c r="D51" s="25" t="s">
        <v>456</v>
      </c>
      <c r="E51" s="28" t="s">
        <v>60</v>
      </c>
      <c r="F51" s="27" t="s">
        <v>62</v>
      </c>
      <c r="G51" s="30" t="s">
        <v>542</v>
      </c>
      <c r="H51" s="30">
        <v>7.0</v>
      </c>
      <c r="I51" s="53">
        <v>2023.0</v>
      </c>
      <c r="J51" s="53">
        <v>6.0</v>
      </c>
      <c r="K51" s="39"/>
      <c r="L51" s="56" t="s">
        <v>459</v>
      </c>
      <c r="M51" s="56" t="s">
        <v>460</v>
      </c>
      <c r="N51" s="53">
        <v>17.0</v>
      </c>
      <c r="O51" s="53">
        <v>6.0</v>
      </c>
      <c r="P51" s="58"/>
      <c r="Q51" s="56" t="s">
        <v>461</v>
      </c>
      <c r="R51" s="58"/>
      <c r="S51" s="58"/>
      <c r="T51" s="138"/>
      <c r="U51" s="58"/>
      <c r="V51" s="58"/>
      <c r="W51" s="39"/>
      <c r="X51" s="79"/>
      <c r="Y51" s="5"/>
      <c r="Z51" s="5"/>
      <c r="AA51" s="5"/>
      <c r="AB51" s="5"/>
      <c r="AC51" s="5"/>
    </row>
    <row r="52" ht="22.5" customHeight="1">
      <c r="A52" s="16" t="s">
        <v>543</v>
      </c>
      <c r="B52" s="133" t="s">
        <v>350</v>
      </c>
      <c r="C52" s="103" t="s">
        <v>351</v>
      </c>
      <c r="D52" s="111" t="s">
        <v>352</v>
      </c>
      <c r="E52" s="112" t="s">
        <v>60</v>
      </c>
      <c r="F52" s="27" t="s">
        <v>62</v>
      </c>
      <c r="G52" s="121"/>
      <c r="H52" s="121">
        <v>7.5</v>
      </c>
      <c r="I52" s="97">
        <v>2024.0</v>
      </c>
      <c r="J52" s="97">
        <v>10.0</v>
      </c>
      <c r="K52" s="98"/>
      <c r="L52" s="99" t="s">
        <v>353</v>
      </c>
      <c r="M52" s="99" t="s">
        <v>354</v>
      </c>
      <c r="N52" s="97">
        <v>33.0</v>
      </c>
      <c r="O52" s="97">
        <v>10.0</v>
      </c>
      <c r="P52" s="99" t="s">
        <v>355</v>
      </c>
      <c r="Q52" s="99" t="s">
        <v>356</v>
      </c>
      <c r="R52" s="99" t="s">
        <v>77</v>
      </c>
      <c r="S52" s="93"/>
      <c r="T52" s="152" t="s">
        <v>357</v>
      </c>
      <c r="U52" s="93"/>
      <c r="V52" s="99" t="s">
        <v>358</v>
      </c>
      <c r="W52" s="97">
        <v>3.849343E7</v>
      </c>
      <c r="X52" s="143" t="s">
        <v>359</v>
      </c>
      <c r="Y52" s="5"/>
      <c r="Z52" s="5"/>
      <c r="AA52" s="5"/>
      <c r="AB52" s="5"/>
      <c r="AC52" s="5"/>
    </row>
    <row r="53" ht="22.5" customHeight="1">
      <c r="A53" s="63" t="s">
        <v>550</v>
      </c>
      <c r="B53" s="131" t="s">
        <v>494</v>
      </c>
      <c r="C53" s="93"/>
      <c r="D53" s="111" t="s">
        <v>496</v>
      </c>
      <c r="E53" s="112" t="s">
        <v>57</v>
      </c>
      <c r="F53" s="27" t="s">
        <v>59</v>
      </c>
      <c r="G53" s="121"/>
      <c r="H53" s="121">
        <v>5.5</v>
      </c>
      <c r="I53" s="97">
        <v>2024.0</v>
      </c>
      <c r="J53" s="98"/>
      <c r="K53" s="98"/>
      <c r="L53" s="99" t="s">
        <v>465</v>
      </c>
      <c r="M53" s="99" t="s">
        <v>466</v>
      </c>
      <c r="N53" s="98"/>
      <c r="O53" s="98"/>
      <c r="P53" s="93"/>
      <c r="Q53" s="99" t="s">
        <v>500</v>
      </c>
      <c r="R53" s="93"/>
      <c r="S53" s="93"/>
      <c r="T53" s="100"/>
      <c r="U53" s="93"/>
      <c r="V53" s="93"/>
      <c r="W53" s="98"/>
      <c r="X53" s="102"/>
      <c r="Y53" s="5"/>
      <c r="Z53" s="5"/>
      <c r="AA53" s="5"/>
      <c r="AB53" s="5"/>
      <c r="AC53" s="5"/>
    </row>
    <row r="54" ht="22.5" customHeight="1">
      <c r="A54" s="16" t="s">
        <v>551</v>
      </c>
      <c r="B54" s="144" t="s">
        <v>471</v>
      </c>
      <c r="C54" s="58"/>
      <c r="D54" s="25" t="s">
        <v>472</v>
      </c>
      <c r="E54" s="28" t="s">
        <v>60</v>
      </c>
      <c r="F54" s="27" t="s">
        <v>62</v>
      </c>
      <c r="G54" s="30" t="s">
        <v>552</v>
      </c>
      <c r="H54" s="30">
        <v>7.0</v>
      </c>
      <c r="I54" s="53">
        <v>2024.0</v>
      </c>
      <c r="J54" s="53">
        <v>10.0</v>
      </c>
      <c r="K54" s="39"/>
      <c r="L54" s="56" t="s">
        <v>192</v>
      </c>
      <c r="M54" s="56" t="s">
        <v>193</v>
      </c>
      <c r="N54" s="53">
        <v>10.0</v>
      </c>
      <c r="O54" s="53">
        <v>4.0</v>
      </c>
      <c r="P54" s="58"/>
      <c r="Q54" s="56" t="s">
        <v>475</v>
      </c>
      <c r="R54" s="58"/>
      <c r="S54" s="58"/>
      <c r="T54" s="138"/>
      <c r="U54" s="58"/>
      <c r="V54" s="58"/>
      <c r="W54" s="39"/>
      <c r="X54" s="79"/>
      <c r="Y54" s="5"/>
      <c r="Z54" s="5"/>
      <c r="AA54" s="5"/>
      <c r="AB54" s="5"/>
      <c r="AC54" s="5"/>
    </row>
    <row r="55" ht="22.5" customHeight="1">
      <c r="A55" s="63" t="s">
        <v>553</v>
      </c>
      <c r="B55" s="88" t="s">
        <v>487</v>
      </c>
      <c r="C55" s="19"/>
      <c r="D55" s="22" t="s">
        <v>488</v>
      </c>
      <c r="E55" s="24" t="s">
        <v>60</v>
      </c>
      <c r="F55" s="27" t="s">
        <v>62</v>
      </c>
      <c r="G55" s="29"/>
      <c r="H55" s="29">
        <v>8.0</v>
      </c>
      <c r="I55" s="31">
        <v>2024.0</v>
      </c>
      <c r="J55" s="31">
        <v>9.0</v>
      </c>
      <c r="K55" s="35"/>
      <c r="L55" s="38" t="s">
        <v>491</v>
      </c>
      <c r="M55" s="19"/>
      <c r="N55" s="31">
        <v>13.0</v>
      </c>
      <c r="O55" s="31">
        <v>9.0</v>
      </c>
      <c r="P55" s="19"/>
      <c r="Q55" s="38" t="s">
        <v>492</v>
      </c>
      <c r="R55" s="19"/>
      <c r="S55" s="19"/>
      <c r="T55" s="46"/>
      <c r="U55" s="19"/>
      <c r="V55" s="19"/>
      <c r="W55" s="35"/>
      <c r="X55" s="50"/>
      <c r="Y55" s="5"/>
      <c r="Z55" s="5"/>
      <c r="AA55" s="5"/>
      <c r="AB55" s="5"/>
      <c r="AC55" s="5"/>
    </row>
    <row r="56" ht="22.5" customHeight="1">
      <c r="A56" s="16" t="s">
        <v>560</v>
      </c>
      <c r="B56" s="118" t="s">
        <v>554</v>
      </c>
      <c r="C56" s="54"/>
      <c r="D56" s="40" t="s">
        <v>555</v>
      </c>
      <c r="E56" s="42" t="s">
        <v>57</v>
      </c>
      <c r="F56" s="27" t="s">
        <v>59</v>
      </c>
      <c r="G56" s="66" t="s">
        <v>561</v>
      </c>
      <c r="H56" s="66">
        <v>6.0</v>
      </c>
      <c r="I56" s="47">
        <v>2024.0</v>
      </c>
      <c r="J56" s="47">
        <v>8.0</v>
      </c>
      <c r="K56" s="49"/>
      <c r="L56" s="57" t="s">
        <v>556</v>
      </c>
      <c r="M56" s="57" t="s">
        <v>557</v>
      </c>
      <c r="N56" s="47">
        <v>43.0</v>
      </c>
      <c r="O56" s="47">
        <v>3.0</v>
      </c>
      <c r="P56" s="57" t="s">
        <v>558</v>
      </c>
      <c r="Q56" s="57" t="s">
        <v>559</v>
      </c>
      <c r="R56" s="54"/>
      <c r="S56" s="54"/>
      <c r="T56" s="106"/>
      <c r="U56" s="54"/>
      <c r="V56" s="54"/>
      <c r="W56" s="49"/>
      <c r="X56" s="62"/>
      <c r="Y56" s="5"/>
      <c r="Z56" s="5"/>
      <c r="AA56" s="5"/>
      <c r="AB56" s="5"/>
      <c r="AC56" s="5"/>
    </row>
    <row r="57" ht="22.5" customHeight="1">
      <c r="A57" s="63" t="s">
        <v>562</v>
      </c>
      <c r="B57" s="136" t="s">
        <v>495</v>
      </c>
      <c r="C57" s="107" t="s">
        <v>497</v>
      </c>
      <c r="D57" s="22" t="s">
        <v>499</v>
      </c>
      <c r="E57" s="24" t="s">
        <v>60</v>
      </c>
      <c r="F57" s="27" t="s">
        <v>62</v>
      </c>
      <c r="G57" s="29"/>
      <c r="H57" s="29">
        <v>7.5</v>
      </c>
      <c r="I57" s="31">
        <v>2024.0</v>
      </c>
      <c r="J57" s="35"/>
      <c r="K57" s="35"/>
      <c r="L57" s="38" t="s">
        <v>501</v>
      </c>
      <c r="M57" s="38" t="s">
        <v>502</v>
      </c>
      <c r="N57" s="31">
        <v>25.0</v>
      </c>
      <c r="O57" s="31">
        <v>1.0</v>
      </c>
      <c r="P57" s="38" t="s">
        <v>503</v>
      </c>
      <c r="Q57" s="38" t="s">
        <v>504</v>
      </c>
      <c r="R57" s="38" t="s">
        <v>77</v>
      </c>
      <c r="S57" s="19"/>
      <c r="T57" s="108" t="s">
        <v>143</v>
      </c>
      <c r="U57" s="19"/>
      <c r="V57" s="19"/>
      <c r="W57" s="31">
        <v>3.8328588E7</v>
      </c>
      <c r="X57" s="109" t="s">
        <v>507</v>
      </c>
      <c r="Y57" s="5"/>
      <c r="Z57" s="5"/>
      <c r="AA57" s="5"/>
      <c r="AB57" s="5"/>
      <c r="AC57" s="5"/>
    </row>
    <row r="58" ht="22.5" customHeight="1">
      <c r="A58" s="16" t="s">
        <v>563</v>
      </c>
      <c r="B58" s="144" t="s">
        <v>514</v>
      </c>
      <c r="C58" s="58"/>
      <c r="D58" s="25" t="s">
        <v>515</v>
      </c>
      <c r="E58" s="28" t="s">
        <v>60</v>
      </c>
      <c r="F58" s="27" t="s">
        <v>62</v>
      </c>
      <c r="G58" s="30"/>
      <c r="H58" s="30">
        <v>8.0</v>
      </c>
      <c r="I58" s="53">
        <v>2024.0</v>
      </c>
      <c r="J58" s="53">
        <v>7.0</v>
      </c>
      <c r="K58" s="39"/>
      <c r="L58" s="56" t="s">
        <v>517</v>
      </c>
      <c r="M58" s="56" t="s">
        <v>518</v>
      </c>
      <c r="N58" s="53">
        <v>34.0</v>
      </c>
      <c r="O58" s="53">
        <v>4.0</v>
      </c>
      <c r="P58" s="58"/>
      <c r="Q58" s="56" t="s">
        <v>519</v>
      </c>
      <c r="R58" s="58"/>
      <c r="S58" s="58"/>
      <c r="T58" s="138"/>
      <c r="U58" s="58"/>
      <c r="V58" s="58"/>
      <c r="W58" s="39"/>
      <c r="X58" s="79"/>
      <c r="Y58" s="5"/>
      <c r="Z58" s="5"/>
      <c r="AA58" s="5"/>
      <c r="AB58" s="5"/>
      <c r="AC58" s="5"/>
    </row>
    <row r="59" ht="22.5" customHeight="1">
      <c r="A59" s="63" t="s">
        <v>565</v>
      </c>
      <c r="B59" s="88" t="s">
        <v>566</v>
      </c>
      <c r="C59" s="19"/>
      <c r="D59" s="22" t="s">
        <v>567</v>
      </c>
      <c r="E59" s="24" t="s">
        <v>57</v>
      </c>
      <c r="F59" s="27" t="s">
        <v>59</v>
      </c>
      <c r="G59" s="29" t="s">
        <v>569</v>
      </c>
      <c r="H59" s="29">
        <v>5.5</v>
      </c>
      <c r="I59" s="31">
        <v>2024.0</v>
      </c>
      <c r="J59" s="35"/>
      <c r="K59" s="35"/>
      <c r="L59" s="38" t="s">
        <v>66</v>
      </c>
      <c r="M59" s="38" t="s">
        <v>67</v>
      </c>
      <c r="N59" s="35"/>
      <c r="O59" s="35"/>
      <c r="P59" s="19"/>
      <c r="Q59" s="38" t="s">
        <v>570</v>
      </c>
      <c r="R59" s="19"/>
      <c r="S59" s="19"/>
      <c r="T59" s="46"/>
      <c r="U59" s="19"/>
      <c r="V59" s="19"/>
      <c r="W59" s="35"/>
      <c r="X59" s="50"/>
      <c r="Y59" s="5"/>
      <c r="Z59" s="5"/>
      <c r="AA59" s="5"/>
      <c r="AB59" s="5"/>
      <c r="AC59" s="5"/>
    </row>
    <row r="60" ht="22.5" customHeight="1">
      <c r="A60" s="16" t="s">
        <v>572</v>
      </c>
      <c r="B60" s="126" t="s">
        <v>573</v>
      </c>
      <c r="C60" s="21" t="s">
        <v>574</v>
      </c>
      <c r="D60" s="25" t="s">
        <v>574</v>
      </c>
      <c r="E60" s="28" t="s">
        <v>57</v>
      </c>
      <c r="F60" s="27" t="s">
        <v>59</v>
      </c>
      <c r="G60" s="30" t="s">
        <v>575</v>
      </c>
      <c r="H60" s="30">
        <v>6.5</v>
      </c>
      <c r="I60" s="53">
        <v>2024.0</v>
      </c>
      <c r="J60" s="39"/>
      <c r="K60" s="39"/>
      <c r="L60" s="58"/>
      <c r="M60" s="58"/>
      <c r="N60" s="39"/>
      <c r="O60" s="39"/>
      <c r="P60" s="56" t="s">
        <v>576</v>
      </c>
      <c r="Q60" s="56" t="s">
        <v>577</v>
      </c>
      <c r="R60" s="58"/>
      <c r="S60" s="56" t="s">
        <v>78</v>
      </c>
      <c r="T60" s="78" t="s">
        <v>80</v>
      </c>
      <c r="U60" s="58"/>
      <c r="V60" s="56" t="s">
        <v>578</v>
      </c>
      <c r="W60" s="39"/>
      <c r="X60" s="79"/>
      <c r="Y60" s="5"/>
      <c r="Z60" s="5"/>
      <c r="AA60" s="5"/>
      <c r="AB60" s="5"/>
      <c r="AC60" s="5"/>
    </row>
    <row r="61" ht="22.5" customHeight="1">
      <c r="A61" s="63" t="s">
        <v>579</v>
      </c>
      <c r="B61" s="128" t="s">
        <v>524</v>
      </c>
      <c r="C61" s="113"/>
      <c r="D61" s="114" t="s">
        <v>525</v>
      </c>
      <c r="E61" s="115" t="s">
        <v>60</v>
      </c>
      <c r="F61" s="27" t="s">
        <v>62</v>
      </c>
      <c r="G61" s="66" t="s">
        <v>580</v>
      </c>
      <c r="H61" s="66">
        <v>7.0</v>
      </c>
      <c r="I61" s="116">
        <v>2024.0</v>
      </c>
      <c r="J61" s="117"/>
      <c r="K61" s="117"/>
      <c r="L61" s="118" t="s">
        <v>526</v>
      </c>
      <c r="M61" s="118" t="s">
        <v>527</v>
      </c>
      <c r="N61" s="117"/>
      <c r="O61" s="117"/>
      <c r="P61" s="113"/>
      <c r="Q61" s="118" t="s">
        <v>528</v>
      </c>
      <c r="R61" s="113"/>
      <c r="S61" s="113"/>
      <c r="T61" s="119"/>
      <c r="U61" s="113"/>
      <c r="V61" s="113"/>
      <c r="W61" s="117"/>
      <c r="X61" s="120"/>
      <c r="Y61" s="5"/>
      <c r="Z61" s="5"/>
      <c r="AA61" s="5"/>
      <c r="AB61" s="5"/>
      <c r="AC61" s="5"/>
    </row>
    <row r="62" ht="22.5" customHeight="1">
      <c r="A62" s="16" t="s">
        <v>581</v>
      </c>
      <c r="B62" s="128" t="s">
        <v>532</v>
      </c>
      <c r="C62" s="33" t="s">
        <v>533</v>
      </c>
      <c r="D62" s="40" t="s">
        <v>533</v>
      </c>
      <c r="E62" s="42" t="s">
        <v>60</v>
      </c>
      <c r="F62" s="27" t="s">
        <v>62</v>
      </c>
      <c r="G62" s="66" t="s">
        <v>582</v>
      </c>
      <c r="H62" s="66">
        <v>7.0</v>
      </c>
      <c r="I62" s="47">
        <v>2024.0</v>
      </c>
      <c r="J62" s="47">
        <v>4.0</v>
      </c>
      <c r="K62" s="49"/>
      <c r="L62" s="57" t="s">
        <v>207</v>
      </c>
      <c r="M62" s="54"/>
      <c r="N62" s="47">
        <v>8.0</v>
      </c>
      <c r="O62" s="49"/>
      <c r="P62" s="54"/>
      <c r="Q62" s="57" t="s">
        <v>535</v>
      </c>
      <c r="R62" s="54"/>
      <c r="S62" s="57" t="s">
        <v>78</v>
      </c>
      <c r="T62" s="60" t="s">
        <v>80</v>
      </c>
      <c r="U62" s="54"/>
      <c r="V62" s="57" t="s">
        <v>536</v>
      </c>
      <c r="W62" s="49"/>
      <c r="X62" s="62"/>
      <c r="Y62" s="5"/>
      <c r="Z62" s="5"/>
      <c r="AA62" s="5"/>
      <c r="AB62" s="5"/>
      <c r="AC62" s="5"/>
    </row>
    <row r="63" ht="22.5" customHeight="1">
      <c r="A63" s="63" t="s">
        <v>583</v>
      </c>
      <c r="B63" s="124" t="s">
        <v>176</v>
      </c>
      <c r="C63" s="54"/>
      <c r="D63" s="40" t="s">
        <v>178</v>
      </c>
      <c r="E63" s="42" t="s">
        <v>60</v>
      </c>
      <c r="F63" s="27" t="s">
        <v>62</v>
      </c>
      <c r="G63" s="66" t="s">
        <v>584</v>
      </c>
      <c r="H63" s="66">
        <v>7.0</v>
      </c>
      <c r="I63" s="47">
        <v>2025.0</v>
      </c>
      <c r="J63" s="47">
        <v>4.0</v>
      </c>
      <c r="K63" s="49"/>
      <c r="L63" s="57" t="s">
        <v>184</v>
      </c>
      <c r="M63" s="57" t="s">
        <v>185</v>
      </c>
      <c r="N63" s="47">
        <v>25.0</v>
      </c>
      <c r="O63" s="47">
        <v>3.0</v>
      </c>
      <c r="P63" s="57" t="s">
        <v>186</v>
      </c>
      <c r="Q63" s="57" t="s">
        <v>187</v>
      </c>
      <c r="R63" s="54"/>
      <c r="S63" s="54"/>
      <c r="T63" s="106"/>
      <c r="U63" s="54"/>
      <c r="V63" s="54"/>
      <c r="W63" s="49"/>
      <c r="X63" s="62"/>
      <c r="Y63" s="5"/>
      <c r="Z63" s="5"/>
      <c r="AA63" s="5"/>
      <c r="AB63" s="5"/>
      <c r="AC63" s="5"/>
    </row>
    <row r="64" ht="22.5" customHeight="1">
      <c r="A64" s="16" t="s">
        <v>586</v>
      </c>
      <c r="B64" s="110" t="s">
        <v>244</v>
      </c>
      <c r="C64" s="107" t="s">
        <v>245</v>
      </c>
      <c r="D64" s="22" t="s">
        <v>246</v>
      </c>
      <c r="E64" s="24" t="s">
        <v>60</v>
      </c>
      <c r="F64" s="27" t="s">
        <v>62</v>
      </c>
      <c r="G64" s="29" t="s">
        <v>587</v>
      </c>
      <c r="H64" s="29">
        <v>6.5</v>
      </c>
      <c r="I64" s="31">
        <v>2025.0</v>
      </c>
      <c r="J64" s="31">
        <v>7.0</v>
      </c>
      <c r="K64" s="31">
        <v>23.0</v>
      </c>
      <c r="L64" s="38" t="s">
        <v>90</v>
      </c>
      <c r="M64" s="38" t="s">
        <v>91</v>
      </c>
      <c r="N64" s="31">
        <v>27.0</v>
      </c>
      <c r="O64" s="35"/>
      <c r="P64" s="38" t="s">
        <v>247</v>
      </c>
      <c r="Q64" s="38" t="s">
        <v>248</v>
      </c>
      <c r="R64" s="38" t="s">
        <v>77</v>
      </c>
      <c r="S64" s="19"/>
      <c r="T64" s="166" t="s">
        <v>94</v>
      </c>
      <c r="U64" s="19"/>
      <c r="V64" s="38" t="s">
        <v>249</v>
      </c>
      <c r="W64" s="31">
        <v>4.0700746E7</v>
      </c>
      <c r="X64" s="109" t="s">
        <v>250</v>
      </c>
      <c r="Y64" s="5"/>
      <c r="Z64" s="5"/>
      <c r="AA64" s="5"/>
      <c r="AB64" s="5"/>
      <c r="AC64" s="5"/>
    </row>
    <row r="65" ht="22.5" customHeight="1">
      <c r="A65" s="63" t="s">
        <v>589</v>
      </c>
      <c r="B65" s="88" t="s">
        <v>271</v>
      </c>
      <c r="C65" s="19"/>
      <c r="D65" s="22" t="s">
        <v>273</v>
      </c>
      <c r="E65" s="24" t="s">
        <v>60</v>
      </c>
      <c r="F65" s="27" t="s">
        <v>62</v>
      </c>
      <c r="G65" s="29"/>
      <c r="H65" s="29">
        <v>7.0</v>
      </c>
      <c r="I65" s="31">
        <v>2025.0</v>
      </c>
      <c r="J65" s="31">
        <v>3.0</v>
      </c>
      <c r="K65" s="35"/>
      <c r="L65" s="38" t="s">
        <v>278</v>
      </c>
      <c r="M65" s="38" t="s">
        <v>280</v>
      </c>
      <c r="N65" s="31">
        <v>40.0</v>
      </c>
      <c r="O65" s="31">
        <v>2.0</v>
      </c>
      <c r="P65" s="38" t="s">
        <v>281</v>
      </c>
      <c r="Q65" s="38" t="s">
        <v>282</v>
      </c>
      <c r="R65" s="19"/>
      <c r="S65" s="19"/>
      <c r="T65" s="46"/>
      <c r="U65" s="19"/>
      <c r="V65" s="19"/>
      <c r="W65" s="35"/>
      <c r="X65" s="50"/>
      <c r="Y65" s="5"/>
      <c r="Z65" s="5"/>
      <c r="AA65" s="5"/>
      <c r="AB65" s="5"/>
      <c r="AC65" s="5"/>
    </row>
    <row r="66" ht="22.5" customHeight="1">
      <c r="A66" s="16" t="s">
        <v>590</v>
      </c>
      <c r="B66" s="128" t="s">
        <v>360</v>
      </c>
      <c r="C66" s="54"/>
      <c r="D66" s="40" t="s">
        <v>361</v>
      </c>
      <c r="E66" s="42" t="s">
        <v>60</v>
      </c>
      <c r="F66" s="27" t="s">
        <v>62</v>
      </c>
      <c r="G66" s="66"/>
      <c r="H66" s="66">
        <v>7.0</v>
      </c>
      <c r="I66" s="47">
        <v>2025.0</v>
      </c>
      <c r="J66" s="47">
        <v>7.0</v>
      </c>
      <c r="K66" s="49"/>
      <c r="L66" s="57" t="s">
        <v>365</v>
      </c>
      <c r="M66" s="57" t="s">
        <v>366</v>
      </c>
      <c r="N66" s="47">
        <v>28.0</v>
      </c>
      <c r="O66" s="47">
        <v>4.0</v>
      </c>
      <c r="P66" s="57" t="s">
        <v>367</v>
      </c>
      <c r="Q66" s="57" t="s">
        <v>368</v>
      </c>
      <c r="R66" s="54"/>
      <c r="S66" s="54"/>
      <c r="T66" s="106"/>
      <c r="U66" s="54"/>
      <c r="V66" s="54"/>
      <c r="W66" s="49"/>
      <c r="X66" s="62"/>
      <c r="Y66" s="5"/>
      <c r="Z66" s="5"/>
      <c r="AA66" s="5"/>
      <c r="AB66" s="5"/>
      <c r="AC66" s="5"/>
    </row>
    <row r="67" ht="22.5" customHeight="1">
      <c r="A67" s="63" t="s">
        <v>591</v>
      </c>
      <c r="B67" s="88" t="s">
        <v>401</v>
      </c>
      <c r="C67" s="19"/>
      <c r="D67" s="22" t="s">
        <v>402</v>
      </c>
      <c r="E67" s="24" t="s">
        <v>57</v>
      </c>
      <c r="F67" s="27" t="s">
        <v>485</v>
      </c>
      <c r="G67" s="29" t="s">
        <v>592</v>
      </c>
      <c r="H67" s="29">
        <v>7.5</v>
      </c>
      <c r="I67" s="31">
        <v>2025.0</v>
      </c>
      <c r="J67" s="35"/>
      <c r="K67" s="35"/>
      <c r="L67" s="38" t="s">
        <v>403</v>
      </c>
      <c r="M67" s="38" t="s">
        <v>404</v>
      </c>
      <c r="N67" s="35"/>
      <c r="O67" s="35"/>
      <c r="P67" s="19"/>
      <c r="Q67" s="38" t="s">
        <v>405</v>
      </c>
      <c r="R67" s="19"/>
      <c r="S67" s="19"/>
      <c r="T67" s="46"/>
      <c r="U67" s="19"/>
      <c r="V67" s="19"/>
      <c r="W67" s="35"/>
      <c r="X67" s="50"/>
      <c r="Y67" s="5"/>
      <c r="Z67" s="5"/>
      <c r="AA67" s="5"/>
      <c r="AB67" s="5"/>
      <c r="AC67" s="5"/>
    </row>
    <row r="68" ht="22.5" customHeight="1">
      <c r="A68" s="16" t="s">
        <v>593</v>
      </c>
      <c r="B68" s="131" t="s">
        <v>433</v>
      </c>
      <c r="C68" s="93"/>
      <c r="D68" s="111" t="s">
        <v>434</v>
      </c>
      <c r="E68" s="112" t="s">
        <v>57</v>
      </c>
      <c r="F68" s="27" t="s">
        <v>485</v>
      </c>
      <c r="G68" s="121" t="s">
        <v>594</v>
      </c>
      <c r="H68" s="121">
        <v>7.5</v>
      </c>
      <c r="I68" s="97">
        <v>2025.0</v>
      </c>
      <c r="J68" s="97">
        <v>11.0</v>
      </c>
      <c r="K68" s="98"/>
      <c r="L68" s="99" t="s">
        <v>365</v>
      </c>
      <c r="M68" s="99" t="s">
        <v>366</v>
      </c>
      <c r="N68" s="97">
        <v>28.0</v>
      </c>
      <c r="O68" s="97">
        <v>6.0</v>
      </c>
      <c r="P68" s="99" t="s">
        <v>435</v>
      </c>
      <c r="Q68" s="99" t="s">
        <v>436</v>
      </c>
      <c r="R68" s="93"/>
      <c r="S68" s="93"/>
      <c r="T68" s="100"/>
      <c r="U68" s="93"/>
      <c r="V68" s="93"/>
      <c r="W68" s="98"/>
      <c r="X68" s="102"/>
      <c r="Y68" s="5"/>
      <c r="Z68" s="5"/>
      <c r="AA68" s="5"/>
      <c r="AB68" s="5"/>
      <c r="AC68" s="5"/>
    </row>
    <row r="69" ht="22.5" customHeight="1">
      <c r="A69" s="63" t="s">
        <v>595</v>
      </c>
      <c r="B69" s="144" t="s">
        <v>438</v>
      </c>
      <c r="C69" s="58"/>
      <c r="D69" s="25" t="s">
        <v>439</v>
      </c>
      <c r="E69" s="28" t="s">
        <v>60</v>
      </c>
      <c r="F69" s="27" t="s">
        <v>62</v>
      </c>
      <c r="G69" s="30"/>
      <c r="H69" s="30">
        <v>6.0</v>
      </c>
      <c r="I69" s="53">
        <v>2025.0</v>
      </c>
      <c r="J69" s="39"/>
      <c r="K69" s="39"/>
      <c r="L69" s="56" t="s">
        <v>66</v>
      </c>
      <c r="M69" s="56" t="s">
        <v>67</v>
      </c>
      <c r="N69" s="39"/>
      <c r="O69" s="39"/>
      <c r="P69" s="58"/>
      <c r="Q69" s="56" t="s">
        <v>440</v>
      </c>
      <c r="R69" s="58"/>
      <c r="S69" s="58"/>
      <c r="T69" s="138"/>
      <c r="U69" s="58"/>
      <c r="V69" s="58"/>
      <c r="W69" s="39"/>
      <c r="X69" s="79"/>
      <c r="Y69" s="5"/>
      <c r="Z69" s="5"/>
      <c r="AA69" s="5"/>
      <c r="AB69" s="5"/>
      <c r="AC69" s="5"/>
    </row>
    <row r="70" ht="22.5" customHeight="1">
      <c r="A70" s="16" t="s">
        <v>596</v>
      </c>
      <c r="B70" s="126" t="s">
        <v>451</v>
      </c>
      <c r="C70" s="21" t="s">
        <v>452</v>
      </c>
      <c r="D70" s="25" t="s">
        <v>452</v>
      </c>
      <c r="E70" s="28" t="s">
        <v>57</v>
      </c>
      <c r="F70" s="27" t="s">
        <v>59</v>
      </c>
      <c r="G70" s="30" t="s">
        <v>597</v>
      </c>
      <c r="H70" s="30">
        <v>6.5</v>
      </c>
      <c r="I70" s="53">
        <v>2025.0</v>
      </c>
      <c r="J70" s="39"/>
      <c r="K70" s="39"/>
      <c r="L70" s="58"/>
      <c r="M70" s="58"/>
      <c r="N70" s="39"/>
      <c r="O70" s="39"/>
      <c r="P70" s="58"/>
      <c r="Q70" s="56" t="s">
        <v>457</v>
      </c>
      <c r="R70" s="58"/>
      <c r="S70" s="56" t="s">
        <v>78</v>
      </c>
      <c r="T70" s="78" t="s">
        <v>80</v>
      </c>
      <c r="U70" s="58"/>
      <c r="V70" s="56" t="s">
        <v>458</v>
      </c>
      <c r="W70" s="39"/>
      <c r="X70" s="79"/>
      <c r="Y70" s="5"/>
      <c r="Z70" s="5"/>
      <c r="AA70" s="5"/>
      <c r="AB70" s="5"/>
      <c r="AC70" s="5"/>
    </row>
    <row r="71" ht="22.5" customHeight="1">
      <c r="A71" s="63" t="s">
        <v>598</v>
      </c>
      <c r="B71" s="118" t="s">
        <v>463</v>
      </c>
      <c r="C71" s="54"/>
      <c r="D71" s="40" t="s">
        <v>464</v>
      </c>
      <c r="E71" s="42" t="s">
        <v>57</v>
      </c>
      <c r="F71" s="27" t="s">
        <v>59</v>
      </c>
      <c r="G71" s="66" t="s">
        <v>599</v>
      </c>
      <c r="H71" s="66">
        <v>6.5</v>
      </c>
      <c r="I71" s="47">
        <v>2025.0</v>
      </c>
      <c r="J71" s="49"/>
      <c r="K71" s="49"/>
      <c r="L71" s="57" t="s">
        <v>465</v>
      </c>
      <c r="M71" s="57" t="s">
        <v>466</v>
      </c>
      <c r="N71" s="49"/>
      <c r="O71" s="49"/>
      <c r="P71" s="54"/>
      <c r="Q71" s="57" t="s">
        <v>467</v>
      </c>
      <c r="R71" s="54"/>
      <c r="S71" s="54"/>
      <c r="T71" s="106"/>
      <c r="U71" s="54"/>
      <c r="V71" s="54"/>
      <c r="W71" s="49"/>
      <c r="X71" s="62"/>
      <c r="Y71" s="5"/>
      <c r="Z71" s="5"/>
      <c r="AA71" s="5"/>
      <c r="AB71" s="5"/>
      <c r="AC71" s="5"/>
    </row>
    <row r="72" ht="22.5" customHeight="1">
      <c r="A72" s="16" t="s">
        <v>600</v>
      </c>
      <c r="B72" s="131" t="s">
        <v>474</v>
      </c>
      <c r="C72" s="93"/>
      <c r="D72" s="111" t="s">
        <v>476</v>
      </c>
      <c r="E72" s="112" t="s">
        <v>57</v>
      </c>
      <c r="F72" s="27" t="s">
        <v>485</v>
      </c>
      <c r="G72" s="121"/>
      <c r="H72" s="121">
        <v>5.5</v>
      </c>
      <c r="I72" s="97">
        <v>2025.0</v>
      </c>
      <c r="J72" s="97">
        <v>5.0</v>
      </c>
      <c r="K72" s="98"/>
      <c r="L72" s="99" t="s">
        <v>478</v>
      </c>
      <c r="M72" s="99" t="s">
        <v>479</v>
      </c>
      <c r="N72" s="97">
        <v>66.0</v>
      </c>
      <c r="O72" s="97">
        <v>3.0</v>
      </c>
      <c r="P72" s="99" t="s">
        <v>480</v>
      </c>
      <c r="Q72" s="99" t="s">
        <v>481</v>
      </c>
      <c r="R72" s="93"/>
      <c r="S72" s="93"/>
      <c r="T72" s="100"/>
      <c r="U72" s="93"/>
      <c r="V72" s="93"/>
      <c r="W72" s="98"/>
      <c r="X72" s="102"/>
      <c r="Y72" s="5"/>
      <c r="Z72" s="5"/>
      <c r="AA72" s="5"/>
      <c r="AB72" s="5"/>
      <c r="AC72" s="5"/>
    </row>
    <row r="73" ht="22.5" customHeight="1">
      <c r="A73" s="63" t="s">
        <v>601</v>
      </c>
      <c r="B73" s="136" t="s">
        <v>544</v>
      </c>
      <c r="C73" s="107" t="s">
        <v>545</v>
      </c>
      <c r="D73" s="22" t="s">
        <v>545</v>
      </c>
      <c r="E73" s="24" t="s">
        <v>60</v>
      </c>
      <c r="F73" s="27" t="s">
        <v>62</v>
      </c>
      <c r="G73" s="29"/>
      <c r="H73" s="29">
        <v>8.0</v>
      </c>
      <c r="I73" s="31">
        <v>2025.0</v>
      </c>
      <c r="J73" s="35"/>
      <c r="K73" s="35"/>
      <c r="L73" s="19"/>
      <c r="M73" s="19"/>
      <c r="N73" s="35"/>
      <c r="O73" s="35"/>
      <c r="P73" s="19"/>
      <c r="Q73" s="38" t="s">
        <v>548</v>
      </c>
      <c r="R73" s="19"/>
      <c r="S73" s="38" t="s">
        <v>78</v>
      </c>
      <c r="T73" s="127" t="s">
        <v>80</v>
      </c>
      <c r="U73" s="19"/>
      <c r="V73" s="38" t="s">
        <v>549</v>
      </c>
      <c r="W73" s="35"/>
      <c r="X73" s="50"/>
      <c r="Y73" s="5"/>
      <c r="Z73" s="5"/>
      <c r="AA73" s="5"/>
      <c r="AB73" s="5"/>
      <c r="AC73" s="5"/>
    </row>
    <row r="74">
      <c r="A74" s="5"/>
      <c r="B74" s="122"/>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c r="A75" s="5"/>
      <c r="B75" s="122"/>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c r="A76" s="169"/>
      <c r="F76" s="5"/>
      <c r="G76" s="5"/>
      <c r="H76" s="5"/>
      <c r="I76" s="5"/>
      <c r="J76" s="5"/>
      <c r="K76" s="5"/>
      <c r="L76" s="5"/>
      <c r="M76" s="5"/>
      <c r="N76" s="5"/>
      <c r="O76" s="5"/>
      <c r="P76" s="5"/>
      <c r="Q76" s="5"/>
      <c r="R76" s="5"/>
      <c r="S76" s="5"/>
      <c r="T76" s="5"/>
      <c r="U76" s="5"/>
      <c r="V76" s="5"/>
      <c r="W76" s="5"/>
      <c r="X76" s="5"/>
      <c r="Y76" s="5"/>
      <c r="Z76" s="5"/>
      <c r="AA76" s="5"/>
      <c r="AB76" s="5"/>
      <c r="AC76" s="5"/>
    </row>
    <row r="77">
      <c r="A77" s="5"/>
      <c r="B77" s="122"/>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c r="A78" s="5"/>
      <c r="B78" s="122"/>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c r="A79" s="5"/>
      <c r="B79" s="122"/>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c r="A80" s="5"/>
      <c r="B80" s="122"/>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c r="A81" s="5"/>
      <c r="B81" s="122"/>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c r="A82" s="5"/>
      <c r="B82" s="122"/>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c r="A83" s="5"/>
      <c r="B83" s="122"/>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c r="A84" s="5"/>
      <c r="B84" s="122"/>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c r="A85" s="5"/>
      <c r="B85" s="122"/>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c r="A86" s="5"/>
      <c r="B86" s="122"/>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c r="A87" s="5"/>
      <c r="B87" s="122"/>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c r="A88" s="5"/>
      <c r="B88" s="122"/>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c r="A89" s="5"/>
      <c r="B89" s="122"/>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c r="A90" s="5"/>
      <c r="B90" s="122"/>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c r="A91" s="5"/>
      <c r="B91" s="122"/>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c r="A92" s="5"/>
      <c r="B92" s="122"/>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c r="A93" s="5"/>
      <c r="B93" s="122"/>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c r="A94" s="5"/>
      <c r="B94" s="122"/>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c r="A95" s="5"/>
      <c r="B95" s="122"/>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c r="A96" s="5"/>
      <c r="B96" s="122"/>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c r="A97" s="5"/>
      <c r="B97" s="122"/>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c r="A98" s="5"/>
      <c r="B98" s="122"/>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c r="A99" s="5"/>
      <c r="B99" s="122"/>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c r="A100" s="5"/>
      <c r="B100" s="122"/>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c r="A101" s="5"/>
      <c r="B101" s="122"/>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c r="A102" s="5"/>
      <c r="B102" s="122"/>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c r="A103" s="5"/>
      <c r="B103" s="122"/>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c r="A104" s="5"/>
      <c r="B104" s="122"/>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c r="A105" s="5"/>
      <c r="B105" s="122"/>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c r="A106" s="5"/>
      <c r="B106" s="122"/>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c r="A107" s="5"/>
      <c r="B107" s="122"/>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c r="A108" s="5"/>
      <c r="B108" s="122"/>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c r="A109" s="5"/>
      <c r="B109" s="122"/>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c r="A110" s="5"/>
      <c r="B110" s="122"/>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c r="A111" s="5"/>
      <c r="B111" s="122"/>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c r="A112" s="5"/>
      <c r="B112" s="122"/>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c r="A113" s="5"/>
      <c r="B113" s="122"/>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c r="A114" s="5"/>
      <c r="B114" s="122"/>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c r="A115" s="5"/>
      <c r="B115" s="122"/>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c r="A116" s="5"/>
      <c r="B116" s="122"/>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c r="A117" s="5"/>
      <c r="B117" s="122"/>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c r="A118" s="5"/>
      <c r="B118" s="122"/>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c r="A119" s="5"/>
      <c r="B119" s="122"/>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c r="A120" s="5"/>
      <c r="B120" s="122"/>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c r="A121" s="5"/>
      <c r="B121" s="122"/>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c r="A122" s="5"/>
      <c r="B122" s="122"/>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c r="A123" s="5"/>
      <c r="B123" s="122"/>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c r="A124" s="5"/>
      <c r="B124" s="122"/>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c r="A125" s="5"/>
      <c r="B125" s="122"/>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c r="A126" s="5"/>
      <c r="B126" s="122"/>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c r="A127" s="5"/>
      <c r="B127" s="122"/>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c r="A128" s="5"/>
      <c r="B128" s="122"/>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c r="A129" s="5"/>
      <c r="B129" s="122"/>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c r="A130" s="5"/>
      <c r="B130" s="122"/>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c r="A131" s="5"/>
      <c r="B131" s="122"/>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c r="A132" s="5"/>
      <c r="B132" s="122"/>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c r="A133" s="5"/>
      <c r="B133" s="122"/>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c r="A134" s="5"/>
      <c r="B134" s="122"/>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c r="A135" s="5"/>
      <c r="B135" s="122"/>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c r="A136" s="5"/>
      <c r="B136" s="122"/>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c r="A137" s="5"/>
      <c r="B137" s="122"/>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c r="A138" s="5"/>
      <c r="B138" s="122"/>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c r="A139" s="5"/>
      <c r="B139" s="122"/>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c r="A140" s="5"/>
      <c r="B140" s="122"/>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c r="A141" s="5"/>
      <c r="B141" s="122"/>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c r="A142" s="5"/>
      <c r="B142" s="122"/>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c r="A143" s="5"/>
      <c r="B143" s="122"/>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c r="A144" s="5"/>
      <c r="B144" s="122"/>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c r="A145" s="5"/>
      <c r="B145" s="122"/>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c r="A146" s="5"/>
      <c r="B146" s="122"/>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c r="A147" s="5"/>
      <c r="B147" s="122"/>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c r="A148" s="5"/>
      <c r="B148" s="122"/>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c r="A149" s="5"/>
      <c r="B149" s="122"/>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c r="A150" s="5"/>
      <c r="B150" s="122"/>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c r="A151" s="5"/>
      <c r="B151" s="122"/>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c r="A152" s="5"/>
      <c r="B152" s="122"/>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c r="A153" s="5"/>
      <c r="B153" s="122"/>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c r="A154" s="5"/>
      <c r="B154" s="122"/>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c r="A155" s="5"/>
      <c r="B155" s="122"/>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c r="A156" s="5"/>
      <c r="B156" s="122"/>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c r="A157" s="5"/>
      <c r="B157" s="122"/>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c r="A158" s="5"/>
      <c r="B158" s="122"/>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c r="A159" s="5"/>
      <c r="B159" s="122"/>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c r="A160" s="5"/>
      <c r="B160" s="122"/>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c r="A161" s="5"/>
      <c r="B161" s="122"/>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c r="A162" s="5"/>
      <c r="B162" s="122"/>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c r="A163" s="5"/>
      <c r="B163" s="122"/>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c r="A164" s="5"/>
      <c r="B164" s="122"/>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c r="A165" s="5"/>
      <c r="B165" s="122"/>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c r="A166" s="5"/>
      <c r="B166" s="122"/>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c r="A167" s="5"/>
      <c r="B167" s="122"/>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c r="A168" s="5"/>
      <c r="B168" s="122"/>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c r="A169" s="5"/>
      <c r="B169" s="122"/>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c r="A170" s="5"/>
      <c r="B170" s="122"/>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c r="A171" s="5"/>
      <c r="B171" s="122"/>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c r="A172" s="5"/>
      <c r="B172" s="122"/>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c r="A173" s="5"/>
      <c r="B173" s="122"/>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c r="A174" s="5"/>
      <c r="B174" s="122"/>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c r="A175" s="5"/>
      <c r="B175" s="122"/>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c r="A176" s="5"/>
      <c r="B176" s="122"/>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c r="A177" s="5"/>
      <c r="B177" s="122"/>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c r="A178" s="5"/>
      <c r="B178" s="122"/>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c r="A179" s="5"/>
      <c r="B179" s="122"/>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c r="A180" s="5"/>
      <c r="B180" s="122"/>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c r="A181" s="5"/>
      <c r="B181" s="122"/>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c r="A182" s="5"/>
      <c r="B182" s="122"/>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c r="A183" s="5"/>
      <c r="B183" s="122"/>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c r="A184" s="5"/>
      <c r="B184" s="122"/>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c r="A185" s="5"/>
      <c r="B185" s="122"/>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c r="A186" s="5"/>
      <c r="B186" s="122"/>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c r="A187" s="5"/>
      <c r="B187" s="122"/>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c r="A188" s="5"/>
      <c r="B188" s="122"/>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c r="A189" s="5"/>
      <c r="B189" s="122"/>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c r="A190" s="5"/>
      <c r="B190" s="122"/>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c r="A191" s="5"/>
      <c r="B191" s="122"/>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c r="A192" s="5"/>
      <c r="B192" s="122"/>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c r="A193" s="5"/>
      <c r="B193" s="122"/>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c r="A194" s="5"/>
      <c r="B194" s="122"/>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c r="A195" s="5"/>
      <c r="B195" s="122"/>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c r="A196" s="5"/>
      <c r="B196" s="122"/>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c r="A197" s="5"/>
      <c r="B197" s="122"/>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c r="A198" s="5"/>
      <c r="B198" s="122"/>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c r="A199" s="5"/>
      <c r="B199" s="122"/>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c r="A200" s="5"/>
      <c r="B200" s="122"/>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c r="A201" s="5"/>
      <c r="B201" s="122"/>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c r="A202" s="5"/>
      <c r="B202" s="122"/>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c r="A203" s="5"/>
      <c r="B203" s="122"/>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c r="A204" s="5"/>
      <c r="B204" s="122"/>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c r="A205" s="5"/>
      <c r="B205" s="122"/>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c r="A206" s="5"/>
      <c r="B206" s="122"/>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c r="A207" s="5"/>
      <c r="B207" s="122"/>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c r="A208" s="5"/>
      <c r="B208" s="122"/>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c r="A209" s="5"/>
      <c r="B209" s="122"/>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c r="A210" s="5"/>
      <c r="B210" s="122"/>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c r="A211" s="5"/>
      <c r="B211" s="122"/>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c r="A212" s="5"/>
      <c r="B212" s="122"/>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c r="A213" s="5"/>
      <c r="B213" s="122"/>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c r="A214" s="5"/>
      <c r="B214" s="122"/>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c r="A215" s="5"/>
      <c r="B215" s="122"/>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c r="A216" s="5"/>
      <c r="B216" s="122"/>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c r="A217" s="5"/>
      <c r="B217" s="122"/>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c r="A218" s="5"/>
      <c r="B218" s="122"/>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c r="A219" s="5"/>
      <c r="B219" s="122"/>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c r="A220" s="5"/>
      <c r="B220" s="122"/>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c r="A221" s="5"/>
      <c r="B221" s="122"/>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c r="A222" s="5"/>
      <c r="B222" s="122"/>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c r="A223" s="5"/>
      <c r="B223" s="122"/>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c r="A224" s="5"/>
      <c r="B224" s="122"/>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c r="A225" s="5"/>
      <c r="B225" s="122"/>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c r="A226" s="5"/>
      <c r="B226" s="122"/>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c r="A227" s="5"/>
      <c r="B227" s="122"/>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c r="A228" s="5"/>
      <c r="B228" s="122"/>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c r="A229" s="5"/>
      <c r="B229" s="122"/>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c r="A230" s="5"/>
      <c r="B230" s="122"/>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c r="A231" s="5"/>
      <c r="B231" s="122"/>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c r="A232" s="5"/>
      <c r="B232" s="122"/>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c r="A233" s="5"/>
      <c r="B233" s="122"/>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c r="A234" s="5"/>
      <c r="B234" s="122"/>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c r="A235" s="5"/>
      <c r="B235" s="122"/>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c r="A236" s="5"/>
      <c r="B236" s="122"/>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c r="A237" s="5"/>
      <c r="B237" s="122"/>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c r="A238" s="5"/>
      <c r="B238" s="122"/>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c r="A239" s="5"/>
      <c r="B239" s="122"/>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c r="A240" s="5"/>
      <c r="B240" s="122"/>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c r="A241" s="5"/>
      <c r="B241" s="122"/>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c r="A242" s="5"/>
      <c r="B242" s="122"/>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c r="A243" s="5"/>
      <c r="B243" s="122"/>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c r="A244" s="5"/>
      <c r="B244" s="122"/>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c r="A245" s="5"/>
      <c r="B245" s="122"/>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c r="A246" s="5"/>
      <c r="B246" s="122"/>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c r="A247" s="5"/>
      <c r="B247" s="122"/>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c r="A248" s="5"/>
      <c r="B248" s="122"/>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c r="A249" s="5"/>
      <c r="B249" s="122"/>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c r="A250" s="5"/>
      <c r="B250" s="122"/>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c r="A251" s="5"/>
      <c r="B251" s="122"/>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c r="A252" s="5"/>
      <c r="B252" s="122"/>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c r="A253" s="5"/>
      <c r="B253" s="122"/>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c r="A254" s="5"/>
      <c r="B254" s="122"/>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c r="A255" s="5"/>
      <c r="B255" s="122"/>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c r="A256" s="5"/>
      <c r="B256" s="122"/>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c r="A257" s="5"/>
      <c r="B257" s="122"/>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c r="A258" s="5"/>
      <c r="B258" s="122"/>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c r="A259" s="5"/>
      <c r="B259" s="122"/>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c r="A260" s="5"/>
      <c r="B260" s="122"/>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c r="A261" s="5"/>
      <c r="B261" s="122"/>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c r="A262" s="5"/>
      <c r="B262" s="122"/>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c r="A263" s="5"/>
      <c r="B263" s="122"/>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c r="A264" s="5"/>
      <c r="B264" s="122"/>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c r="A265" s="5"/>
      <c r="B265" s="122"/>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c r="A266" s="5"/>
      <c r="B266" s="122"/>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c r="A267" s="5"/>
      <c r="B267" s="122"/>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c r="A268" s="5"/>
      <c r="B268" s="122"/>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c r="A269" s="5"/>
      <c r="B269" s="122"/>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c r="A270" s="5"/>
      <c r="B270" s="122"/>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c r="A271" s="5"/>
      <c r="B271" s="122"/>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c r="A272" s="5"/>
      <c r="B272" s="122"/>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c r="A273" s="5"/>
      <c r="B273" s="122"/>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c r="A274" s="5"/>
      <c r="B274" s="122"/>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c r="A275" s="5"/>
      <c r="B275" s="122"/>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c r="A276" s="5"/>
      <c r="B276" s="122"/>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c r="A277" s="5"/>
      <c r="B277" s="122"/>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c r="A278" s="5"/>
      <c r="B278" s="122"/>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c r="A279" s="5"/>
      <c r="B279" s="122"/>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c r="A280" s="5"/>
      <c r="B280" s="122"/>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c r="A281" s="5"/>
      <c r="B281" s="122"/>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c r="A282" s="5"/>
      <c r="B282" s="122"/>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c r="A283" s="5"/>
      <c r="B283" s="122"/>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c r="A284" s="5"/>
      <c r="B284" s="122"/>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c r="A285" s="5"/>
      <c r="B285" s="122"/>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c r="A286" s="5"/>
      <c r="B286" s="122"/>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c r="A287" s="5"/>
      <c r="B287" s="122"/>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c r="A288" s="5"/>
      <c r="B288" s="122"/>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c r="A289" s="5"/>
      <c r="B289" s="122"/>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c r="A290" s="5"/>
      <c r="B290" s="122"/>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c r="A291" s="5"/>
      <c r="B291" s="122"/>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c r="A292" s="5"/>
      <c r="B292" s="122"/>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c r="A293" s="5"/>
      <c r="B293" s="122"/>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c r="A294" s="5"/>
      <c r="B294" s="122"/>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c r="A295" s="5"/>
      <c r="B295" s="122"/>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c r="A296" s="5"/>
      <c r="B296" s="122"/>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c r="A297" s="5"/>
      <c r="B297" s="122"/>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c r="A298" s="5"/>
      <c r="B298" s="122"/>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c r="A299" s="5"/>
      <c r="B299" s="122"/>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c r="A300" s="5"/>
      <c r="B300" s="122"/>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c r="A301" s="5"/>
      <c r="B301" s="122"/>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c r="A302" s="5"/>
      <c r="B302" s="122"/>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c r="A303" s="5"/>
      <c r="B303" s="122"/>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c r="A304" s="5"/>
      <c r="B304" s="122"/>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c r="A305" s="5"/>
      <c r="B305" s="122"/>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c r="A306" s="5"/>
      <c r="B306" s="122"/>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c r="A307" s="5"/>
      <c r="B307" s="122"/>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c r="A308" s="5"/>
      <c r="B308" s="122"/>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c r="A309" s="5"/>
      <c r="B309" s="122"/>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c r="A310" s="5"/>
      <c r="B310" s="122"/>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c r="A311" s="5"/>
      <c r="B311" s="122"/>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c r="A312" s="5"/>
      <c r="B312" s="122"/>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c r="A313" s="5"/>
      <c r="B313" s="122"/>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c r="A314" s="5"/>
      <c r="B314" s="122"/>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c r="A315" s="5"/>
      <c r="B315" s="122"/>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c r="A316" s="5"/>
      <c r="B316" s="122"/>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c r="A317" s="5"/>
      <c r="B317" s="122"/>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c r="A318" s="5"/>
      <c r="B318" s="122"/>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c r="A319" s="5"/>
      <c r="B319" s="122"/>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c r="A320" s="5"/>
      <c r="B320" s="122"/>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c r="A321" s="5"/>
      <c r="B321" s="122"/>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c r="A322" s="5"/>
      <c r="B322" s="122"/>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c r="A323" s="5"/>
      <c r="B323" s="122"/>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c r="A324" s="5"/>
      <c r="B324" s="122"/>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c r="A325" s="5"/>
      <c r="B325" s="122"/>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c r="A326" s="5"/>
      <c r="B326" s="122"/>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c r="A327" s="5"/>
      <c r="B327" s="122"/>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c r="A328" s="5"/>
      <c r="B328" s="122"/>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c r="A329" s="5"/>
      <c r="B329" s="122"/>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c r="A330" s="5"/>
      <c r="B330" s="122"/>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c r="A331" s="5"/>
      <c r="B331" s="122"/>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c r="A332" s="5"/>
      <c r="B332" s="122"/>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c r="A333" s="5"/>
      <c r="B333" s="122"/>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c r="A334" s="5"/>
      <c r="B334" s="122"/>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c r="A335" s="5"/>
      <c r="B335" s="122"/>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c r="A336" s="5"/>
      <c r="B336" s="122"/>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c r="A337" s="5"/>
      <c r="B337" s="122"/>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c r="A338" s="5"/>
      <c r="B338" s="122"/>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c r="A339" s="5"/>
      <c r="B339" s="122"/>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c r="A340" s="5"/>
      <c r="B340" s="122"/>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c r="A341" s="5"/>
      <c r="B341" s="122"/>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c r="A342" s="5"/>
      <c r="B342" s="122"/>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c r="A343" s="5"/>
      <c r="B343" s="122"/>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c r="A344" s="5"/>
      <c r="B344" s="122"/>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c r="A345" s="5"/>
      <c r="B345" s="122"/>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c r="A346" s="5"/>
      <c r="B346" s="122"/>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c r="A347" s="5"/>
      <c r="B347" s="122"/>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c r="A348" s="5"/>
      <c r="B348" s="122"/>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c r="A349" s="5"/>
      <c r="B349" s="122"/>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c r="A350" s="5"/>
      <c r="B350" s="122"/>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c r="A351" s="5"/>
      <c r="B351" s="122"/>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c r="A352" s="5"/>
      <c r="B352" s="122"/>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c r="A353" s="5"/>
      <c r="B353" s="122"/>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c r="A354" s="5"/>
      <c r="B354" s="122"/>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c r="A355" s="5"/>
      <c r="B355" s="122"/>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c r="A356" s="5"/>
      <c r="B356" s="122"/>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c r="A357" s="5"/>
      <c r="B357" s="122"/>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c r="A358" s="5"/>
      <c r="B358" s="122"/>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c r="A359" s="5"/>
      <c r="B359" s="122"/>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c r="A360" s="5"/>
      <c r="B360" s="122"/>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c r="A361" s="5"/>
      <c r="B361" s="122"/>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c r="A362" s="5"/>
      <c r="B362" s="122"/>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c r="A363" s="5"/>
      <c r="B363" s="122"/>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c r="A364" s="5"/>
      <c r="B364" s="122"/>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c r="A365" s="5"/>
      <c r="B365" s="122"/>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c r="A366" s="5"/>
      <c r="B366" s="122"/>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c r="A367" s="5"/>
      <c r="B367" s="122"/>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c r="A368" s="5"/>
      <c r="B368" s="122"/>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c r="A369" s="5"/>
      <c r="B369" s="122"/>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c r="A370" s="5"/>
      <c r="B370" s="122"/>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c r="A371" s="5"/>
      <c r="B371" s="122"/>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c r="A372" s="5"/>
      <c r="B372" s="122"/>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c r="A373" s="5"/>
      <c r="B373" s="122"/>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c r="A374" s="5"/>
      <c r="B374" s="122"/>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c r="A375" s="5"/>
      <c r="B375" s="122"/>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c r="A376" s="5"/>
      <c r="B376" s="122"/>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c r="A377" s="5"/>
      <c r="B377" s="122"/>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c r="A378" s="5"/>
      <c r="B378" s="122"/>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c r="A379" s="5"/>
      <c r="B379" s="122"/>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c r="A380" s="5"/>
      <c r="B380" s="122"/>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c r="A381" s="5"/>
      <c r="B381" s="122"/>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c r="A382" s="5"/>
      <c r="B382" s="122"/>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c r="A383" s="5"/>
      <c r="B383" s="122"/>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c r="A384" s="5"/>
      <c r="B384" s="122"/>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c r="A385" s="5"/>
      <c r="B385" s="122"/>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c r="A386" s="5"/>
      <c r="B386" s="122"/>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c r="A387" s="5"/>
      <c r="B387" s="122"/>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c r="A388" s="5"/>
      <c r="B388" s="122"/>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c r="A389" s="5"/>
      <c r="B389" s="122"/>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c r="A390" s="5"/>
      <c r="B390" s="122"/>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c r="A391" s="5"/>
      <c r="B391" s="122"/>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c r="A392" s="5"/>
      <c r="B392" s="122"/>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c r="A393" s="5"/>
      <c r="B393" s="122"/>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c r="A394" s="5"/>
      <c r="B394" s="122"/>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c r="A395" s="5"/>
      <c r="B395" s="122"/>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c r="A396" s="5"/>
      <c r="B396" s="122"/>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c r="A397" s="5"/>
      <c r="B397" s="122"/>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c r="A398" s="5"/>
      <c r="B398" s="122"/>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c r="A399" s="5"/>
      <c r="B399" s="122"/>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c r="A400" s="5"/>
      <c r="B400" s="122"/>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c r="A401" s="5"/>
      <c r="B401" s="122"/>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c r="A402" s="5"/>
      <c r="B402" s="122"/>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c r="A403" s="5"/>
      <c r="B403" s="122"/>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c r="A404" s="5"/>
      <c r="B404" s="122"/>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c r="A405" s="5"/>
      <c r="B405" s="122"/>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c r="A406" s="5"/>
      <c r="B406" s="122"/>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c r="A407" s="5"/>
      <c r="B407" s="122"/>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c r="A408" s="5"/>
      <c r="B408" s="122"/>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c r="A409" s="5"/>
      <c r="B409" s="122"/>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c r="A410" s="5"/>
      <c r="B410" s="122"/>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c r="A411" s="5"/>
      <c r="B411" s="122"/>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c r="A412" s="5"/>
      <c r="B412" s="122"/>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c r="A413" s="5"/>
      <c r="B413" s="122"/>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c r="A414" s="5"/>
      <c r="B414" s="122"/>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c r="A415" s="5"/>
      <c r="B415" s="122"/>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c r="A416" s="5"/>
      <c r="B416" s="122"/>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c r="A417" s="5"/>
      <c r="B417" s="122"/>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c r="A418" s="5"/>
      <c r="B418" s="122"/>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c r="A419" s="5"/>
      <c r="B419" s="122"/>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c r="A420" s="5"/>
      <c r="B420" s="122"/>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c r="A421" s="5"/>
      <c r="B421" s="122"/>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c r="A422" s="5"/>
      <c r="B422" s="122"/>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c r="A423" s="5"/>
      <c r="B423" s="122"/>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c r="A424" s="5"/>
      <c r="B424" s="122"/>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c r="A425" s="5"/>
      <c r="B425" s="122"/>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c r="A426" s="5"/>
      <c r="B426" s="122"/>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c r="A427" s="5"/>
      <c r="B427" s="122"/>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c r="A428" s="5"/>
      <c r="B428" s="122"/>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c r="A429" s="5"/>
      <c r="B429" s="122"/>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c r="A430" s="5"/>
      <c r="B430" s="122"/>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c r="A431" s="5"/>
      <c r="B431" s="122"/>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c r="A432" s="5"/>
      <c r="B432" s="122"/>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c r="A433" s="5"/>
      <c r="B433" s="122"/>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c r="A434" s="5"/>
      <c r="B434" s="122"/>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c r="A435" s="5"/>
      <c r="B435" s="122"/>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c r="A436" s="5"/>
      <c r="B436" s="122"/>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c r="A437" s="5"/>
      <c r="B437" s="122"/>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c r="A438" s="5"/>
      <c r="B438" s="122"/>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c r="A439" s="5"/>
      <c r="B439" s="122"/>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c r="A440" s="5"/>
      <c r="B440" s="122"/>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c r="A441" s="5"/>
      <c r="B441" s="122"/>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c r="A442" s="5"/>
      <c r="B442" s="122"/>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c r="A443" s="5"/>
      <c r="B443" s="122"/>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c r="A444" s="5"/>
      <c r="B444" s="122"/>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c r="A445" s="5"/>
      <c r="B445" s="122"/>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c r="A446" s="5"/>
      <c r="B446" s="122"/>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c r="A447" s="5"/>
      <c r="B447" s="122"/>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c r="A448" s="5"/>
      <c r="B448" s="122"/>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c r="A449" s="5"/>
      <c r="B449" s="122"/>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c r="A450" s="5"/>
      <c r="B450" s="122"/>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c r="A451" s="5"/>
      <c r="B451" s="122"/>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c r="A452" s="5"/>
      <c r="B452" s="122"/>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c r="A453" s="5"/>
      <c r="B453" s="122"/>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c r="A454" s="5"/>
      <c r="B454" s="122"/>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c r="A455" s="5"/>
      <c r="B455" s="122"/>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c r="A456" s="5"/>
      <c r="B456" s="122"/>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c r="A457" s="5"/>
      <c r="B457" s="122"/>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c r="A458" s="5"/>
      <c r="B458" s="122"/>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c r="A459" s="5"/>
      <c r="B459" s="122"/>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c r="A460" s="5"/>
      <c r="B460" s="122"/>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c r="A461" s="5"/>
      <c r="B461" s="122"/>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c r="A462" s="5"/>
      <c r="B462" s="122"/>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c r="A463" s="5"/>
      <c r="B463" s="122"/>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c r="A464" s="5"/>
      <c r="B464" s="122"/>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c r="A465" s="5"/>
      <c r="B465" s="122"/>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c r="A466" s="5"/>
      <c r="B466" s="122"/>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c r="A467" s="5"/>
      <c r="B467" s="122"/>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c r="A468" s="5"/>
      <c r="B468" s="122"/>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c r="A469" s="5"/>
      <c r="B469" s="122"/>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c r="A470" s="5"/>
      <c r="B470" s="122"/>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c r="A471" s="5"/>
      <c r="B471" s="122"/>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c r="A472" s="5"/>
      <c r="B472" s="122"/>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c r="A473" s="5"/>
      <c r="B473" s="122"/>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c r="A474" s="5"/>
      <c r="B474" s="122"/>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c r="A475" s="5"/>
      <c r="B475" s="122"/>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c r="A476" s="5"/>
      <c r="B476" s="122"/>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c r="A477" s="5"/>
      <c r="B477" s="122"/>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c r="A478" s="5"/>
      <c r="B478" s="122"/>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c r="A479" s="5"/>
      <c r="B479" s="122"/>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c r="A480" s="5"/>
      <c r="B480" s="122"/>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c r="A481" s="5"/>
      <c r="B481" s="122"/>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c r="A482" s="5"/>
      <c r="B482" s="122"/>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c r="A483" s="5"/>
      <c r="B483" s="122"/>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c r="A484" s="5"/>
      <c r="B484" s="122"/>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c r="A485" s="5"/>
      <c r="B485" s="122"/>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c r="A486" s="5"/>
      <c r="B486" s="122"/>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c r="A487" s="5"/>
      <c r="B487" s="122"/>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c r="A488" s="5"/>
      <c r="B488" s="122"/>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c r="A489" s="5"/>
      <c r="B489" s="122"/>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c r="A490" s="5"/>
      <c r="B490" s="122"/>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c r="A491" s="5"/>
      <c r="B491" s="122"/>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c r="A492" s="5"/>
      <c r="B492" s="122"/>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c r="A493" s="5"/>
      <c r="B493" s="122"/>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c r="A494" s="5"/>
      <c r="B494" s="122"/>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c r="A495" s="5"/>
      <c r="B495" s="122"/>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c r="A496" s="5"/>
      <c r="B496" s="122"/>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c r="A497" s="5"/>
      <c r="B497" s="122"/>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c r="A498" s="5"/>
      <c r="B498" s="122"/>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c r="A499" s="5"/>
      <c r="B499" s="122"/>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c r="A500" s="5"/>
      <c r="B500" s="122"/>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c r="A501" s="5"/>
      <c r="B501" s="122"/>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c r="A502" s="5"/>
      <c r="B502" s="122"/>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c r="A503" s="5"/>
      <c r="B503" s="122"/>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c r="A504" s="5"/>
      <c r="B504" s="122"/>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c r="A505" s="5"/>
      <c r="B505" s="122"/>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c r="A506" s="5"/>
      <c r="B506" s="122"/>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c r="A507" s="5"/>
      <c r="B507" s="122"/>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c r="A508" s="5"/>
      <c r="B508" s="122"/>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c r="A509" s="5"/>
      <c r="B509" s="122"/>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c r="A510" s="5"/>
      <c r="B510" s="122"/>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c r="A511" s="5"/>
      <c r="B511" s="122"/>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c r="A512" s="5"/>
      <c r="B512" s="122"/>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c r="A513" s="5"/>
      <c r="B513" s="122"/>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c r="A514" s="5"/>
      <c r="B514" s="122"/>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c r="A515" s="5"/>
      <c r="B515" s="122"/>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c r="A516" s="5"/>
      <c r="B516" s="122"/>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c r="A517" s="5"/>
      <c r="B517" s="122"/>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c r="A518" s="5"/>
      <c r="B518" s="122"/>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c r="A519" s="5"/>
      <c r="B519" s="122"/>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c r="A520" s="5"/>
      <c r="B520" s="122"/>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A521" s="5"/>
      <c r="B521" s="122"/>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5"/>
      <c r="B522" s="122"/>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5"/>
      <c r="B523" s="122"/>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5"/>
      <c r="B524" s="122"/>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5"/>
      <c r="B525" s="122"/>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5"/>
      <c r="B526" s="122"/>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5"/>
      <c r="B527" s="122"/>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5"/>
      <c r="B528" s="122"/>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5"/>
      <c r="B529" s="122"/>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5"/>
      <c r="B530" s="122"/>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5"/>
      <c r="B531" s="122"/>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5"/>
      <c r="B532" s="122"/>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5"/>
      <c r="B533" s="122"/>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5"/>
      <c r="B534" s="122"/>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5"/>
      <c r="B535" s="122"/>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5"/>
      <c r="B536" s="122"/>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5"/>
      <c r="B537" s="122"/>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5"/>
      <c r="B538" s="122"/>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5"/>
      <c r="B539" s="122"/>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5"/>
      <c r="B540" s="122"/>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5"/>
      <c r="B541" s="122"/>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5"/>
      <c r="B542" s="122"/>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5"/>
      <c r="B543" s="122"/>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5"/>
      <c r="B544" s="122"/>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5"/>
      <c r="B545" s="122"/>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5"/>
      <c r="B546" s="122"/>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5"/>
      <c r="B547" s="122"/>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5"/>
      <c r="B548" s="122"/>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5"/>
      <c r="B549" s="122"/>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5"/>
      <c r="B550" s="122"/>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5"/>
      <c r="B551" s="122"/>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5"/>
      <c r="B552" s="122"/>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5"/>
      <c r="B553" s="122"/>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5"/>
      <c r="B554" s="122"/>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5"/>
      <c r="B555" s="122"/>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5"/>
      <c r="B556" s="122"/>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5"/>
      <c r="B557" s="122"/>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5"/>
      <c r="B558" s="122"/>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5"/>
      <c r="B559" s="122"/>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5"/>
      <c r="B560" s="122"/>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5"/>
      <c r="B561" s="122"/>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5"/>
      <c r="B562" s="122"/>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5"/>
      <c r="B563" s="122"/>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5"/>
      <c r="B564" s="122"/>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5"/>
      <c r="B565" s="122"/>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5"/>
      <c r="B566" s="122"/>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5"/>
      <c r="B567" s="122"/>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5"/>
      <c r="B568" s="122"/>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5"/>
      <c r="B569" s="122"/>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5"/>
      <c r="B570" s="122"/>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5"/>
      <c r="B571" s="122"/>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5"/>
      <c r="B572" s="122"/>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5"/>
      <c r="B573" s="122"/>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5"/>
      <c r="B574" s="122"/>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5"/>
      <c r="B575" s="122"/>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5"/>
      <c r="B576" s="122"/>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5"/>
      <c r="B577" s="122"/>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5"/>
      <c r="B578" s="122"/>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5"/>
      <c r="B579" s="122"/>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5"/>
      <c r="B580" s="122"/>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5"/>
      <c r="B581" s="122"/>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5"/>
      <c r="B582" s="122"/>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5"/>
      <c r="B583" s="122"/>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5"/>
      <c r="B584" s="122"/>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5"/>
      <c r="B585" s="122"/>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5"/>
      <c r="B586" s="122"/>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5"/>
      <c r="B587" s="122"/>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5"/>
      <c r="B588" s="122"/>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5"/>
      <c r="B589" s="122"/>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5"/>
      <c r="B590" s="122"/>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5"/>
      <c r="B591" s="122"/>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5"/>
      <c r="B592" s="122"/>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5"/>
      <c r="B593" s="122"/>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5"/>
      <c r="B594" s="122"/>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5"/>
      <c r="B595" s="122"/>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5"/>
      <c r="B596" s="122"/>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5"/>
      <c r="B597" s="122"/>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5"/>
      <c r="B598" s="122"/>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5"/>
      <c r="B599" s="122"/>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5"/>
      <c r="B600" s="122"/>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5"/>
      <c r="B601" s="122"/>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5"/>
      <c r="B602" s="122"/>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5"/>
      <c r="B603" s="122"/>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5"/>
      <c r="B604" s="122"/>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5"/>
      <c r="B605" s="122"/>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5"/>
      <c r="B606" s="122"/>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5"/>
      <c r="B607" s="122"/>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5"/>
      <c r="B608" s="122"/>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5"/>
      <c r="B609" s="122"/>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5"/>
      <c r="B610" s="122"/>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5"/>
      <c r="B611" s="122"/>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5"/>
      <c r="B612" s="122"/>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5"/>
      <c r="B613" s="122"/>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5"/>
      <c r="B614" s="122"/>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5"/>
      <c r="B615" s="122"/>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5"/>
      <c r="B616" s="122"/>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5"/>
      <c r="B617" s="122"/>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5"/>
      <c r="B618" s="122"/>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5"/>
      <c r="B619" s="122"/>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5"/>
      <c r="B620" s="122"/>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5"/>
      <c r="B621" s="122"/>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5"/>
      <c r="B622" s="122"/>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5"/>
      <c r="B623" s="122"/>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5"/>
      <c r="B624" s="122"/>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5"/>
      <c r="B625" s="122"/>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5"/>
      <c r="B626" s="122"/>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5"/>
      <c r="B627" s="122"/>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5"/>
      <c r="B628" s="122"/>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5"/>
      <c r="B629" s="122"/>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5"/>
      <c r="B630" s="122"/>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5"/>
      <c r="B631" s="122"/>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5"/>
      <c r="B632" s="122"/>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5"/>
      <c r="B633" s="122"/>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5"/>
      <c r="B634" s="122"/>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5"/>
      <c r="B635" s="122"/>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5"/>
      <c r="B636" s="122"/>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5"/>
      <c r="B637" s="122"/>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5"/>
      <c r="B638" s="122"/>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5"/>
      <c r="B639" s="122"/>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5"/>
      <c r="B640" s="122"/>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5"/>
      <c r="B641" s="122"/>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5"/>
      <c r="B642" s="122"/>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5"/>
      <c r="B643" s="122"/>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5"/>
      <c r="B644" s="122"/>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5"/>
      <c r="B645" s="122"/>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5"/>
      <c r="B646" s="122"/>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5"/>
      <c r="B647" s="122"/>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5"/>
      <c r="B648" s="122"/>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5"/>
      <c r="B649" s="122"/>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5"/>
      <c r="B650" s="122"/>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5"/>
      <c r="B651" s="122"/>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5"/>
      <c r="B652" s="122"/>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5"/>
      <c r="B653" s="122"/>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5"/>
      <c r="B654" s="122"/>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5"/>
      <c r="B655" s="122"/>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5"/>
      <c r="B656" s="122"/>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5"/>
      <c r="B657" s="122"/>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5"/>
      <c r="B658" s="122"/>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5"/>
      <c r="B659" s="122"/>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5"/>
      <c r="B660" s="122"/>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5"/>
      <c r="B661" s="122"/>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5"/>
      <c r="B662" s="122"/>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5"/>
      <c r="B663" s="122"/>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5"/>
      <c r="B664" s="122"/>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5"/>
      <c r="B665" s="122"/>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5"/>
      <c r="B666" s="122"/>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5"/>
      <c r="B667" s="122"/>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5"/>
      <c r="B668" s="122"/>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5"/>
      <c r="B669" s="122"/>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5"/>
      <c r="B670" s="122"/>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5"/>
      <c r="B671" s="122"/>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5"/>
      <c r="B672" s="122"/>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5"/>
      <c r="B673" s="122"/>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5"/>
      <c r="B674" s="122"/>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5"/>
      <c r="B675" s="122"/>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5"/>
      <c r="B676" s="122"/>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5"/>
      <c r="B677" s="122"/>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5"/>
      <c r="B678" s="122"/>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5"/>
      <c r="B679" s="122"/>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5"/>
      <c r="B680" s="122"/>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5"/>
      <c r="B681" s="122"/>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5"/>
      <c r="B682" s="122"/>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5"/>
      <c r="B683" s="122"/>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5"/>
      <c r="B684" s="122"/>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5"/>
      <c r="B685" s="122"/>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5"/>
      <c r="B686" s="122"/>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5"/>
      <c r="B687" s="122"/>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5"/>
      <c r="B688" s="122"/>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5"/>
      <c r="B689" s="122"/>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5"/>
      <c r="B690" s="122"/>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5"/>
      <c r="B691" s="122"/>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5"/>
      <c r="B692" s="122"/>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5"/>
      <c r="B693" s="122"/>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5"/>
      <c r="B694" s="122"/>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5"/>
      <c r="B695" s="122"/>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5"/>
      <c r="B696" s="122"/>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5"/>
      <c r="B697" s="122"/>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5"/>
      <c r="B698" s="122"/>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5"/>
      <c r="B699" s="122"/>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5"/>
      <c r="B700" s="122"/>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5"/>
      <c r="B701" s="122"/>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5"/>
      <c r="B702" s="122"/>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5"/>
      <c r="B703" s="122"/>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5"/>
      <c r="B704" s="122"/>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5"/>
      <c r="B705" s="122"/>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5"/>
      <c r="B706" s="122"/>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5"/>
      <c r="B707" s="122"/>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5"/>
      <c r="B708" s="122"/>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5"/>
      <c r="B709" s="122"/>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5"/>
      <c r="B710" s="122"/>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5"/>
      <c r="B711" s="122"/>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5"/>
      <c r="B712" s="122"/>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5"/>
      <c r="B713" s="122"/>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5"/>
      <c r="B714" s="122"/>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5"/>
      <c r="B715" s="122"/>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5"/>
      <c r="B716" s="122"/>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5"/>
      <c r="B717" s="122"/>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5"/>
      <c r="B718" s="122"/>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5"/>
      <c r="B719" s="122"/>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5"/>
      <c r="B720" s="122"/>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5"/>
      <c r="B721" s="122"/>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5"/>
      <c r="B722" s="122"/>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5"/>
      <c r="B723" s="122"/>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5"/>
      <c r="B724" s="122"/>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5"/>
      <c r="B725" s="122"/>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5"/>
      <c r="B726" s="122"/>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5"/>
      <c r="B727" s="122"/>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5"/>
      <c r="B728" s="122"/>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5"/>
      <c r="B729" s="122"/>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5"/>
      <c r="B730" s="122"/>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5"/>
      <c r="B731" s="122"/>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5"/>
      <c r="B732" s="122"/>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5"/>
      <c r="B733" s="122"/>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5"/>
      <c r="B734" s="122"/>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5"/>
      <c r="B735" s="122"/>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5"/>
      <c r="B736" s="122"/>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5"/>
      <c r="B737" s="122"/>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5"/>
      <c r="B738" s="122"/>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5"/>
      <c r="B739" s="122"/>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5"/>
      <c r="B740" s="122"/>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5"/>
      <c r="B741" s="122"/>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5"/>
      <c r="B742" s="122"/>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5"/>
      <c r="B743" s="122"/>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5"/>
      <c r="B744" s="122"/>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5"/>
      <c r="B745" s="122"/>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5"/>
      <c r="B746" s="122"/>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5"/>
      <c r="B747" s="122"/>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5"/>
      <c r="B748" s="122"/>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5"/>
      <c r="B749" s="122"/>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5"/>
      <c r="B750" s="122"/>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5"/>
      <c r="B751" s="122"/>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5"/>
      <c r="B752" s="122"/>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5"/>
      <c r="B753" s="122"/>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5"/>
      <c r="B754" s="122"/>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5"/>
      <c r="B755" s="122"/>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5"/>
      <c r="B756" s="122"/>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5"/>
      <c r="B757" s="122"/>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5"/>
      <c r="B758" s="122"/>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5"/>
      <c r="B759" s="122"/>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5"/>
      <c r="B760" s="122"/>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5"/>
      <c r="B761" s="122"/>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5"/>
      <c r="B762" s="122"/>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5"/>
      <c r="B763" s="122"/>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5"/>
      <c r="B764" s="122"/>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5"/>
      <c r="B765" s="122"/>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5"/>
      <c r="B766" s="122"/>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5"/>
      <c r="B767" s="122"/>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5"/>
      <c r="B768" s="122"/>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5"/>
      <c r="B769" s="122"/>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5"/>
      <c r="B770" s="122"/>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5"/>
      <c r="B771" s="122"/>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5"/>
      <c r="B772" s="122"/>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5"/>
      <c r="B773" s="122"/>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5"/>
      <c r="B774" s="122"/>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5"/>
      <c r="B775" s="122"/>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5"/>
      <c r="B776" s="122"/>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5"/>
      <c r="B777" s="122"/>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5"/>
      <c r="B778" s="122"/>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5"/>
      <c r="B779" s="122"/>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5"/>
      <c r="B780" s="122"/>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5"/>
      <c r="B781" s="122"/>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5"/>
      <c r="B782" s="122"/>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5"/>
      <c r="B783" s="122"/>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5"/>
      <c r="B784" s="122"/>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5"/>
      <c r="B785" s="122"/>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5"/>
      <c r="B786" s="122"/>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5"/>
      <c r="B787" s="122"/>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5"/>
      <c r="B788" s="122"/>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5"/>
      <c r="B789" s="122"/>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5"/>
      <c r="B790" s="122"/>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5"/>
      <c r="B791" s="122"/>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5"/>
      <c r="B792" s="122"/>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5"/>
      <c r="B793" s="122"/>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5"/>
      <c r="B794" s="122"/>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5"/>
      <c r="B795" s="122"/>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5"/>
      <c r="B796" s="122"/>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5"/>
      <c r="B797" s="122"/>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5"/>
      <c r="B798" s="122"/>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5"/>
      <c r="B799" s="122"/>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5"/>
      <c r="B800" s="122"/>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5"/>
      <c r="B801" s="122"/>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5"/>
      <c r="B802" s="122"/>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5"/>
      <c r="B803" s="122"/>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5"/>
      <c r="B804" s="122"/>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5"/>
      <c r="B805" s="122"/>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5"/>
      <c r="B806" s="122"/>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5"/>
      <c r="B807" s="122"/>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5"/>
      <c r="B808" s="122"/>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5"/>
      <c r="B809" s="122"/>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5"/>
      <c r="B810" s="122"/>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5"/>
      <c r="B811" s="122"/>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5"/>
      <c r="B812" s="122"/>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5"/>
      <c r="B813" s="122"/>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5"/>
      <c r="B814" s="122"/>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5"/>
      <c r="B815" s="122"/>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5"/>
      <c r="B816" s="122"/>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5"/>
      <c r="B817" s="122"/>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5"/>
      <c r="B818" s="122"/>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5"/>
      <c r="B819" s="122"/>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5"/>
      <c r="B820" s="122"/>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5"/>
      <c r="B821" s="122"/>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5"/>
      <c r="B822" s="122"/>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5"/>
      <c r="B823" s="122"/>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5"/>
      <c r="B824" s="122"/>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5"/>
      <c r="B825" s="122"/>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5"/>
      <c r="B826" s="122"/>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5"/>
      <c r="B827" s="122"/>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5"/>
      <c r="B828" s="122"/>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5"/>
      <c r="B829" s="122"/>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5"/>
      <c r="B830" s="122"/>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5"/>
      <c r="B831" s="122"/>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5"/>
      <c r="B832" s="122"/>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5"/>
      <c r="B833" s="122"/>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5"/>
      <c r="B834" s="122"/>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5"/>
      <c r="B835" s="122"/>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5"/>
      <c r="B836" s="122"/>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5"/>
      <c r="B837" s="122"/>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5"/>
      <c r="B838" s="122"/>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5"/>
      <c r="B839" s="122"/>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5"/>
      <c r="B840" s="122"/>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5"/>
      <c r="B841" s="122"/>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5"/>
      <c r="B842" s="122"/>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5"/>
      <c r="B843" s="122"/>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5"/>
      <c r="B844" s="122"/>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5"/>
      <c r="B845" s="122"/>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5"/>
      <c r="B846" s="122"/>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5"/>
      <c r="B847" s="122"/>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5"/>
      <c r="B848" s="122"/>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5"/>
      <c r="B849" s="122"/>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5"/>
      <c r="B850" s="122"/>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5"/>
      <c r="B851" s="122"/>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5"/>
      <c r="B852" s="122"/>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5"/>
      <c r="B853" s="122"/>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5"/>
      <c r="B854" s="122"/>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5"/>
      <c r="B855" s="122"/>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5"/>
      <c r="B856" s="122"/>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5"/>
      <c r="B857" s="122"/>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5"/>
      <c r="B858" s="122"/>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5"/>
      <c r="B859" s="122"/>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5"/>
      <c r="B860" s="122"/>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5"/>
      <c r="B861" s="122"/>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5"/>
      <c r="B862" s="122"/>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5"/>
      <c r="B863" s="122"/>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5"/>
      <c r="B864" s="122"/>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5"/>
      <c r="B865" s="122"/>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5"/>
      <c r="B866" s="122"/>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sheetData>
  <mergeCells count="1">
    <mergeCell ref="A76:E76"/>
  </mergeCells>
  <dataValidations>
    <dataValidation type="list" allowBlank="1" showDropDown="1" showErrorMessage="1" sqref="A2:A73">
      <formula1>"S01,S02,S03,S04,S05,S06,S07,S08,S09,S10,S11,S12,S13,S14,S15,S16,S17,S18,S19,S20,S21,S22,S23,S24,S25,S26,S27,S28,S29,S30,S31,S32,S33,S34,S35,S36,S37,S38,S39,S40,S41,S42,S43,S44,S45,S46,S47,S48,S49,S50,S51,S52,S53,S54,S55,S56,S57,S58,S59,S60,S61,S62,S63,S64"&amp;",S65,S66,S67,S68,S69,S70,S71,S72,S73,S74,S75,S76,S77,S78,S79,S80,S81,S82,S83,S84,S85,S86,S87,S88,S89,S90,S91,S92,S93,S94,S95,S96,S97,S98,S99,S100,S101,S102,S103,S104,S105,S106,S107,S108,S109,S110,S111,S112,S113,S114,S115,S116,S117,S118,S119,S120,S121,S122"&amp;",S123,S124,S125,S126,S127,S128,S129,S130,S131,S132,S133,S134,S135,S136,S137,S138,S139,S140,S141,S142,S143,S144,S145,S146,S147,S148,S149,S150,S151,S152,S153,S154,S155,S156,S157,S158,S159,S160,S161,S162,S163,S164,S165,S166,S167,S168,S169,S170,S171,S172,S173"&amp;",S174,S175,S176,S177,S178,S179,S180,S181,S182,S183,S184,S185,S186,S187,S188,S189,S190,S191,S192,S193,S194,S195,S196,S197,S198,S199,S200,S201,S202,S203,S204,S205,S206"</formula1>
    </dataValidation>
    <dataValidation type="list" allowBlank="1" showDropDown="1" showErrorMessage="1" sqref="T2:T73">
      <formula1>"United States,Switzerland,New York, NY, USA,Canada,Netherlands,England,Australia,USA,Germany,India"</formula1>
    </dataValidation>
    <dataValidation type="list" allowBlank="1" showDropDown="1" showErrorMessage="1" sqref="X2:X73">
      <formula1>"PMC6025558,PMC11203408,PMC12054967,PMC10511780,PMC11778161,PMC9180504,PMC10337301,PMC10337357,PMC11292145,PMC11007601,PMC10366700,PMC7566877,PMC7480726,PMC11951667,PMC6879100,PMC12329389,PMC9333518,PMC9271672,PMC8704107,PMC11564277,PMC5719498,PMC11299094,"&amp;"PMC7709895,PMC6696505,PMC12396793,PMC7527758,PMC10421562,PMC7013651,PMC8196355,PMC7677025,PMC12097645,PMC9349237,PMC10846420,PMC4835356,PMC6801001,PMC4706743,PMC6280972,PMC7451450,PMC5866528,PMC11937766,PMC12353438"</formula1>
    </dataValidation>
    <dataValidation type="custom" allowBlank="1" showDropDown="1" sqref="I2:K73 N2:O73 W2:W73">
      <formula1>AND(ISNUMBER(I2),(NOT(OR(NOT(ISERROR(DATEVALUE(I2))), AND(ISNUMBER(I2), LEFT(CELL("format", I2))="D")))))</formula1>
    </dataValidation>
    <dataValidation type="list" allowBlank="1" sqref="E2:E73">
      <formula1>"Rejected,Accepted,Doubt,duplicate"</formula1>
    </dataValidation>
    <dataValidation type="list" allowBlank="1" sqref="F2:F73">
      <formula1>"IC1 Study that discusses the needs and/or experiences of transgender or gender diverse people when using social networks,EC1 Study that does not directly address TGD individuals and their experiences, needs, or interactions in social networks from a persp"&amp;"ective related to the design, evaluation, use, or policies of these platforms (e.g., studies focused exclusively on biomedical, legal, or general social aspects).,EC2 Study that addresses other aspects of identity without focusing on gender identity as a "&amp;"factor in social network research,EC3 Non-peer-reviewed studies,EC4 Study published in languages other than English or Portuguese,EC5 Secondary study (systematic reviews, meta-analyses, and other secondary analyses that do not present new empirical data,E"&amp;"C6 Study that is not a full article,EC7 Study with full text unavailable,EC8 Study that exclusively analyze content or representations about TGD experiences in social media (e.g., posts, videos, hashtags), without direct data from TGD individuals (e.g., i"&amp;"nterviews, surveys) on their lived experiences or platform usage practices."</formula1>
    </dataValidation>
  </dataValidations>
  <hyperlinks>
    <hyperlink r:id="rId1" ref="D2"/>
    <hyperlink r:id="rId2" ref="C3"/>
    <hyperlink r:id="rId3" ref="D3"/>
    <hyperlink r:id="rId4" ref="C4"/>
    <hyperlink r:id="rId5" ref="D4"/>
    <hyperlink r:id="rId6" ref="D5"/>
    <hyperlink r:id="rId7" ref="C6"/>
    <hyperlink r:id="rId8" ref="D6"/>
    <hyperlink r:id="rId9" ref="D7"/>
    <hyperlink r:id="rId10" ref="C8"/>
    <hyperlink r:id="rId11" ref="D8"/>
    <hyperlink r:id="rId12" ref="D9"/>
    <hyperlink r:id="rId13" ref="D10"/>
    <hyperlink r:id="rId14" ref="D11"/>
    <hyperlink r:id="rId15" ref="C12"/>
    <hyperlink r:id="rId16" ref="D12"/>
    <hyperlink r:id="rId17" ref="C13"/>
    <hyperlink r:id="rId18" ref="D13"/>
    <hyperlink r:id="rId19" ref="C14"/>
    <hyperlink r:id="rId20" ref="D14"/>
    <hyperlink r:id="rId21" ref="C15"/>
    <hyperlink r:id="rId22" ref="D15"/>
    <hyperlink r:id="rId23" ref="C16"/>
    <hyperlink r:id="rId24" ref="D16"/>
    <hyperlink r:id="rId25" ref="C17"/>
    <hyperlink r:id="rId26" ref="D18"/>
    <hyperlink r:id="rId27" ref="D19"/>
    <hyperlink r:id="rId28" ref="D20"/>
    <hyperlink r:id="rId29" ref="D21"/>
    <hyperlink r:id="rId30" ref="D22"/>
    <hyperlink r:id="rId31" ref="C23"/>
    <hyperlink r:id="rId32" ref="D23"/>
    <hyperlink r:id="rId33" ref="C24"/>
    <hyperlink r:id="rId34" ref="D24"/>
    <hyperlink r:id="rId35" ref="C25"/>
    <hyperlink r:id="rId36" ref="D25"/>
    <hyperlink r:id="rId37" ref="C26"/>
    <hyperlink r:id="rId38" ref="D26"/>
    <hyperlink r:id="rId39" ref="C27"/>
    <hyperlink r:id="rId40" ref="D27"/>
    <hyperlink r:id="rId41" ref="D28"/>
    <hyperlink r:id="rId42" ref="D29"/>
    <hyperlink r:id="rId43" ref="D30"/>
    <hyperlink r:id="rId44" ref="C31"/>
    <hyperlink r:id="rId45" ref="D31"/>
    <hyperlink r:id="rId46" ref="C32"/>
    <hyperlink r:id="rId47" ref="D32"/>
    <hyperlink r:id="rId48" ref="C33"/>
    <hyperlink r:id="rId49" ref="D33"/>
    <hyperlink r:id="rId50" ref="D34"/>
    <hyperlink r:id="rId51" ref="D35"/>
    <hyperlink r:id="rId52" ref="C36"/>
    <hyperlink r:id="rId53" ref="D36"/>
    <hyperlink r:id="rId54" ref="C37"/>
    <hyperlink r:id="rId55" ref="D37"/>
    <hyperlink r:id="rId56" ref="D38"/>
    <hyperlink r:id="rId57" ref="C39"/>
    <hyperlink r:id="rId58" ref="D39"/>
    <hyperlink r:id="rId59" ref="C40"/>
    <hyperlink r:id="rId60" ref="D40"/>
    <hyperlink r:id="rId61" ref="C41"/>
    <hyperlink r:id="rId62" ref="D41"/>
    <hyperlink r:id="rId63" ref="D42"/>
    <hyperlink r:id="rId64" ref="D43"/>
    <hyperlink r:id="rId65" ref="D44"/>
    <hyperlink r:id="rId66" ref="D45"/>
    <hyperlink r:id="rId67" ref="C46"/>
    <hyperlink r:id="rId68" ref="D46"/>
    <hyperlink r:id="rId69" ref="C47"/>
    <hyperlink r:id="rId70" ref="D47"/>
    <hyperlink r:id="rId71" ref="D48"/>
    <hyperlink r:id="rId72" ref="D49"/>
    <hyperlink r:id="rId73" ref="D50"/>
    <hyperlink r:id="rId74" ref="D51"/>
    <hyperlink r:id="rId75" ref="C52"/>
    <hyperlink r:id="rId76" ref="D52"/>
    <hyperlink r:id="rId77" ref="D53"/>
    <hyperlink r:id="rId78" ref="D54"/>
    <hyperlink r:id="rId79" ref="D55"/>
    <hyperlink r:id="rId80" ref="D56"/>
    <hyperlink r:id="rId81" ref="C57"/>
    <hyperlink r:id="rId82" ref="D57"/>
    <hyperlink r:id="rId83" ref="D58"/>
    <hyperlink r:id="rId84" ref="D59"/>
    <hyperlink r:id="rId85" ref="C60"/>
    <hyperlink r:id="rId86" ref="D60"/>
    <hyperlink r:id="rId87" ref="D61"/>
    <hyperlink r:id="rId88" ref="C62"/>
    <hyperlink r:id="rId89" ref="D62"/>
    <hyperlink r:id="rId90" ref="D63"/>
    <hyperlink r:id="rId91" ref="C64"/>
    <hyperlink r:id="rId92" ref="D64"/>
    <hyperlink r:id="rId93" ref="D65"/>
    <hyperlink r:id="rId94" ref="D66"/>
    <hyperlink r:id="rId95" ref="D67"/>
    <hyperlink r:id="rId96" ref="D68"/>
    <hyperlink r:id="rId97" ref="D69"/>
    <hyperlink r:id="rId98" ref="C70"/>
    <hyperlink r:id="rId99" ref="D70"/>
    <hyperlink r:id="rId100" ref="D71"/>
    <hyperlink r:id="rId101" ref="D72"/>
    <hyperlink r:id="rId102" ref="C73"/>
    <hyperlink r:id="rId103" ref="D73"/>
  </hyperlinks>
  <drawing r:id="rId104"/>
  <tableParts count="1">
    <tablePart r:id="rId10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49.5"/>
    <col customWidth="1" min="3" max="3" width="13.0"/>
    <col customWidth="1" min="4" max="4" width="42.88"/>
    <col customWidth="1" min="5" max="5" width="18.38"/>
    <col customWidth="1" min="6" max="6" width="25.38"/>
    <col customWidth="1" min="9" max="9" width="11.13"/>
  </cols>
  <sheetData>
    <row r="1" ht="22.5" customHeight="1">
      <c r="A1" s="2" t="s">
        <v>1</v>
      </c>
      <c r="B1" s="4" t="s">
        <v>3</v>
      </c>
      <c r="C1" s="2" t="s">
        <v>5</v>
      </c>
      <c r="D1" s="2" t="s">
        <v>6</v>
      </c>
      <c r="E1" s="2" t="s">
        <v>14</v>
      </c>
      <c r="F1" s="2" t="s">
        <v>17</v>
      </c>
      <c r="G1" s="2" t="s">
        <v>21</v>
      </c>
      <c r="H1" s="2" t="s">
        <v>23</v>
      </c>
      <c r="I1" s="2" t="s">
        <v>24</v>
      </c>
      <c r="J1" s="2" t="s">
        <v>26</v>
      </c>
      <c r="K1" s="2" t="s">
        <v>27</v>
      </c>
      <c r="L1" s="2" t="s">
        <v>29</v>
      </c>
      <c r="M1" s="2" t="s">
        <v>30</v>
      </c>
      <c r="N1" s="2" t="s">
        <v>31</v>
      </c>
      <c r="O1" s="2" t="s">
        <v>32</v>
      </c>
      <c r="P1" s="2" t="s">
        <v>33</v>
      </c>
      <c r="Q1" s="2" t="s">
        <v>34</v>
      </c>
      <c r="R1" s="2" t="s">
        <v>36</v>
      </c>
      <c r="S1" s="2" t="s">
        <v>38</v>
      </c>
      <c r="T1" s="2" t="s">
        <v>39</v>
      </c>
      <c r="U1" s="2" t="s">
        <v>40</v>
      </c>
      <c r="V1" s="2" t="s">
        <v>41</v>
      </c>
      <c r="W1" s="5"/>
      <c r="X1" s="5"/>
      <c r="Y1" s="5"/>
      <c r="Z1" s="5"/>
      <c r="AA1" s="5"/>
    </row>
    <row r="2" ht="22.5" customHeight="1">
      <c r="A2" s="18" t="s">
        <v>42</v>
      </c>
      <c r="B2" s="20" t="s">
        <v>50</v>
      </c>
      <c r="C2" s="33" t="s">
        <v>54</v>
      </c>
      <c r="D2" s="40" t="s">
        <v>54</v>
      </c>
      <c r="E2" s="42" t="s">
        <v>60</v>
      </c>
      <c r="F2" s="27" t="s">
        <v>62</v>
      </c>
      <c r="G2" s="47">
        <v>2015.0</v>
      </c>
      <c r="H2" s="49"/>
      <c r="I2" s="49"/>
      <c r="J2" s="54"/>
      <c r="K2" s="54"/>
      <c r="L2" s="49"/>
      <c r="M2" s="49"/>
      <c r="N2" s="57" t="s">
        <v>74</v>
      </c>
      <c r="O2" s="57" t="s">
        <v>75</v>
      </c>
      <c r="P2" s="54"/>
      <c r="Q2" s="57" t="s">
        <v>78</v>
      </c>
      <c r="R2" s="60" t="s">
        <v>80</v>
      </c>
      <c r="S2" s="54"/>
      <c r="T2" s="57" t="s">
        <v>82</v>
      </c>
      <c r="U2" s="49"/>
      <c r="V2" s="62"/>
      <c r="W2" s="5"/>
      <c r="X2" s="5"/>
      <c r="Y2" s="5"/>
      <c r="Z2" s="5"/>
      <c r="AA2" s="5"/>
    </row>
    <row r="3" ht="22.5" customHeight="1">
      <c r="A3" s="14" t="s">
        <v>84</v>
      </c>
      <c r="B3" s="74" t="s">
        <v>88</v>
      </c>
      <c r="C3" s="21" t="s">
        <v>89</v>
      </c>
      <c r="D3" s="25" t="s">
        <v>89</v>
      </c>
      <c r="E3" s="28" t="s">
        <v>60</v>
      </c>
      <c r="F3" s="27" t="s">
        <v>62</v>
      </c>
      <c r="G3" s="53">
        <v>2015.0</v>
      </c>
      <c r="H3" s="39"/>
      <c r="I3" s="39"/>
      <c r="J3" s="58"/>
      <c r="K3" s="58"/>
      <c r="L3" s="39"/>
      <c r="M3" s="39"/>
      <c r="N3" s="56" t="s">
        <v>97</v>
      </c>
      <c r="O3" s="56" t="s">
        <v>98</v>
      </c>
      <c r="P3" s="58"/>
      <c r="Q3" s="56" t="s">
        <v>78</v>
      </c>
      <c r="R3" s="78" t="s">
        <v>80</v>
      </c>
      <c r="S3" s="58"/>
      <c r="T3" s="56" t="s">
        <v>99</v>
      </c>
      <c r="U3" s="39"/>
      <c r="V3" s="79"/>
      <c r="W3" s="5"/>
      <c r="X3" s="5"/>
      <c r="Y3" s="5"/>
      <c r="Z3" s="5"/>
      <c r="AA3" s="5"/>
    </row>
    <row r="4" ht="22.5" customHeight="1">
      <c r="A4" s="18" t="s">
        <v>100</v>
      </c>
      <c r="B4" s="91" t="s">
        <v>108</v>
      </c>
      <c r="C4" s="21" t="s">
        <v>109</v>
      </c>
      <c r="D4" s="25" t="s">
        <v>109</v>
      </c>
      <c r="E4" s="28" t="s">
        <v>60</v>
      </c>
      <c r="F4" s="27" t="s">
        <v>62</v>
      </c>
      <c r="G4" s="53">
        <v>2016.0</v>
      </c>
      <c r="H4" s="39"/>
      <c r="I4" s="39"/>
      <c r="J4" s="58"/>
      <c r="K4" s="58"/>
      <c r="L4" s="39"/>
      <c r="M4" s="39"/>
      <c r="N4" s="56" t="s">
        <v>113</v>
      </c>
      <c r="O4" s="56" t="s">
        <v>75</v>
      </c>
      <c r="P4" s="58"/>
      <c r="Q4" s="56" t="s">
        <v>78</v>
      </c>
      <c r="R4" s="78" t="s">
        <v>80</v>
      </c>
      <c r="S4" s="58"/>
      <c r="T4" s="56" t="s">
        <v>114</v>
      </c>
      <c r="U4" s="39"/>
      <c r="V4" s="79"/>
      <c r="W4" s="5"/>
      <c r="X4" s="5"/>
      <c r="Y4" s="5"/>
      <c r="Z4" s="5"/>
      <c r="AA4" s="5"/>
    </row>
    <row r="5" ht="22.5" customHeight="1">
      <c r="A5" s="14" t="s">
        <v>110</v>
      </c>
      <c r="B5" s="75" t="s">
        <v>127</v>
      </c>
      <c r="C5" s="54"/>
      <c r="D5" s="40" t="s">
        <v>128</v>
      </c>
      <c r="E5" s="42" t="s">
        <v>60</v>
      </c>
      <c r="F5" s="27" t="s">
        <v>62</v>
      </c>
      <c r="G5" s="47">
        <v>2016.0</v>
      </c>
      <c r="H5" s="47">
        <v>12.0</v>
      </c>
      <c r="I5" s="49"/>
      <c r="J5" s="57" t="s">
        <v>129</v>
      </c>
      <c r="K5" s="57" t="s">
        <v>130</v>
      </c>
      <c r="L5" s="47">
        <v>65.0</v>
      </c>
      <c r="M5" s="49"/>
      <c r="N5" s="57" t="s">
        <v>131</v>
      </c>
      <c r="O5" s="57" t="s">
        <v>132</v>
      </c>
      <c r="P5" s="54"/>
      <c r="Q5" s="54"/>
      <c r="R5" s="106"/>
      <c r="S5" s="54"/>
      <c r="T5" s="54"/>
      <c r="U5" s="49"/>
      <c r="V5" s="62"/>
      <c r="W5" s="5"/>
      <c r="X5" s="5"/>
      <c r="Y5" s="5"/>
      <c r="Z5" s="5"/>
      <c r="AA5" s="5"/>
    </row>
    <row r="6" ht="22.5" customHeight="1">
      <c r="A6" s="18" t="s">
        <v>125</v>
      </c>
      <c r="B6" s="92" t="s">
        <v>148</v>
      </c>
      <c r="C6" s="93"/>
      <c r="D6" s="111" t="s">
        <v>150</v>
      </c>
      <c r="E6" s="112" t="s">
        <v>60</v>
      </c>
      <c r="F6" s="27" t="s">
        <v>62</v>
      </c>
      <c r="G6" s="97">
        <v>2017.0</v>
      </c>
      <c r="H6" s="98"/>
      <c r="I6" s="98"/>
      <c r="J6" s="99" t="s">
        <v>153</v>
      </c>
      <c r="K6" s="99" t="s">
        <v>154</v>
      </c>
      <c r="L6" s="97">
        <v>24.0</v>
      </c>
      <c r="M6" s="97">
        <v>11.0</v>
      </c>
      <c r="N6" s="99" t="s">
        <v>156</v>
      </c>
      <c r="O6" s="99" t="s">
        <v>158</v>
      </c>
      <c r="P6" s="93"/>
      <c r="Q6" s="93"/>
      <c r="R6" s="100"/>
      <c r="S6" s="93"/>
      <c r="T6" s="93"/>
      <c r="U6" s="98"/>
      <c r="V6" s="102"/>
      <c r="W6" s="5"/>
      <c r="X6" s="5"/>
      <c r="Y6" s="5"/>
      <c r="Z6" s="5"/>
      <c r="AA6" s="5"/>
    </row>
    <row r="7" ht="22.5" customHeight="1">
      <c r="A7" s="14" t="s">
        <v>136</v>
      </c>
      <c r="B7" s="17" t="s">
        <v>169</v>
      </c>
      <c r="C7" s="19"/>
      <c r="D7" s="22" t="s">
        <v>171</v>
      </c>
      <c r="E7" s="24" t="s">
        <v>60</v>
      </c>
      <c r="F7" s="27" t="s">
        <v>62</v>
      </c>
      <c r="G7" s="31">
        <v>2017.0</v>
      </c>
      <c r="H7" s="35"/>
      <c r="I7" s="35"/>
      <c r="J7" s="38" t="s">
        <v>174</v>
      </c>
      <c r="K7" s="38" t="s">
        <v>175</v>
      </c>
      <c r="L7" s="31">
        <v>11.0</v>
      </c>
      <c r="M7" s="31">
        <v>2.0</v>
      </c>
      <c r="N7" s="38" t="s">
        <v>177</v>
      </c>
      <c r="O7" s="38" t="s">
        <v>179</v>
      </c>
      <c r="P7" s="19"/>
      <c r="Q7" s="19"/>
      <c r="R7" s="46"/>
      <c r="S7" s="19"/>
      <c r="T7" s="19"/>
      <c r="U7" s="35"/>
      <c r="V7" s="50"/>
      <c r="W7" s="122"/>
      <c r="X7" s="122"/>
      <c r="Y7" s="122"/>
      <c r="Z7" s="122"/>
      <c r="AA7" s="122"/>
      <c r="AB7" s="123"/>
    </row>
    <row r="8" ht="22.5" customHeight="1">
      <c r="A8" s="18" t="s">
        <v>146</v>
      </c>
      <c r="B8" s="124" t="s">
        <v>120</v>
      </c>
      <c r="C8" s="103" t="s">
        <v>121</v>
      </c>
      <c r="D8" s="111" t="s">
        <v>122</v>
      </c>
      <c r="E8" s="112" t="s">
        <v>60</v>
      </c>
      <c r="F8" s="27" t="s">
        <v>62</v>
      </c>
      <c r="G8" s="97">
        <v>2018.0</v>
      </c>
      <c r="H8" s="97">
        <v>6.0</v>
      </c>
      <c r="I8" s="98"/>
      <c r="J8" s="99" t="s">
        <v>123</v>
      </c>
      <c r="K8" s="93"/>
      <c r="L8" s="97">
        <v>9.0</v>
      </c>
      <c r="M8" s="97">
        <v>1.0</v>
      </c>
      <c r="N8" s="93"/>
      <c r="O8" s="99" t="s">
        <v>124</v>
      </c>
      <c r="P8" s="93"/>
      <c r="Q8" s="93"/>
      <c r="R8" s="100"/>
      <c r="S8" s="93"/>
      <c r="T8" s="93"/>
      <c r="U8" s="98"/>
      <c r="V8" s="102"/>
      <c r="W8" s="5"/>
      <c r="X8" s="5"/>
      <c r="Y8" s="5"/>
      <c r="Z8" s="5"/>
      <c r="AA8" s="5"/>
    </row>
    <row r="9" ht="22.5" customHeight="1">
      <c r="A9" s="14" t="s">
        <v>168</v>
      </c>
      <c r="B9" s="126" t="s">
        <v>195</v>
      </c>
      <c r="C9" s="21" t="s">
        <v>197</v>
      </c>
      <c r="D9" s="25" t="s">
        <v>197</v>
      </c>
      <c r="E9" s="28" t="s">
        <v>60</v>
      </c>
      <c r="F9" s="27" t="s">
        <v>62</v>
      </c>
      <c r="G9" s="53">
        <v>2018.0</v>
      </c>
      <c r="H9" s="39"/>
      <c r="I9" s="39"/>
      <c r="J9" s="58"/>
      <c r="K9" s="58"/>
      <c r="L9" s="39"/>
      <c r="M9" s="39"/>
      <c r="N9" s="56" t="s">
        <v>198</v>
      </c>
      <c r="O9" s="56" t="s">
        <v>199</v>
      </c>
      <c r="P9" s="58"/>
      <c r="Q9" s="56" t="s">
        <v>78</v>
      </c>
      <c r="R9" s="78" t="s">
        <v>80</v>
      </c>
      <c r="S9" s="58"/>
      <c r="T9" s="56" t="s">
        <v>200</v>
      </c>
      <c r="U9" s="39"/>
      <c r="V9" s="79"/>
      <c r="W9" s="5"/>
      <c r="X9" s="5"/>
      <c r="Y9" s="5"/>
      <c r="Z9" s="5"/>
      <c r="AA9" s="5"/>
    </row>
    <row r="10" ht="22.5" customHeight="1">
      <c r="A10" s="18" t="s">
        <v>188</v>
      </c>
      <c r="B10" s="88" t="s">
        <v>205</v>
      </c>
      <c r="C10" s="107" t="s">
        <v>206</v>
      </c>
      <c r="D10" s="22" t="s">
        <v>206</v>
      </c>
      <c r="E10" s="24" t="s">
        <v>60</v>
      </c>
      <c r="F10" s="27" t="s">
        <v>62</v>
      </c>
      <c r="G10" s="31">
        <v>2018.0</v>
      </c>
      <c r="H10" s="31">
        <v>11.0</v>
      </c>
      <c r="I10" s="35"/>
      <c r="J10" s="38" t="s">
        <v>207</v>
      </c>
      <c r="K10" s="19"/>
      <c r="L10" s="31">
        <v>2.0</v>
      </c>
      <c r="M10" s="35"/>
      <c r="N10" s="19"/>
      <c r="O10" s="38" t="s">
        <v>208</v>
      </c>
      <c r="P10" s="19"/>
      <c r="Q10" s="38" t="s">
        <v>78</v>
      </c>
      <c r="R10" s="127" t="s">
        <v>80</v>
      </c>
      <c r="S10" s="19"/>
      <c r="T10" s="38" t="s">
        <v>209</v>
      </c>
      <c r="U10" s="35"/>
      <c r="V10" s="50"/>
      <c r="W10" s="122"/>
      <c r="X10" s="122"/>
      <c r="Y10" s="122"/>
      <c r="Z10" s="122"/>
      <c r="AA10" s="122"/>
      <c r="AB10" s="123"/>
    </row>
    <row r="11" ht="22.5" customHeight="1">
      <c r="A11" s="14" t="s">
        <v>196</v>
      </c>
      <c r="B11" s="131" t="s">
        <v>223</v>
      </c>
      <c r="C11" s="103" t="s">
        <v>224</v>
      </c>
      <c r="D11" s="111" t="s">
        <v>224</v>
      </c>
      <c r="E11" s="112" t="s">
        <v>60</v>
      </c>
      <c r="F11" s="27" t="s">
        <v>62</v>
      </c>
      <c r="G11" s="97">
        <v>2018.0</v>
      </c>
      <c r="H11" s="97">
        <v>11.0</v>
      </c>
      <c r="I11" s="98"/>
      <c r="J11" s="99" t="s">
        <v>207</v>
      </c>
      <c r="K11" s="93"/>
      <c r="L11" s="97">
        <v>2.0</v>
      </c>
      <c r="M11" s="98"/>
      <c r="N11" s="93"/>
      <c r="O11" s="99" t="s">
        <v>225</v>
      </c>
      <c r="P11" s="93"/>
      <c r="Q11" s="99" t="s">
        <v>78</v>
      </c>
      <c r="R11" s="132" t="s">
        <v>80</v>
      </c>
      <c r="S11" s="93"/>
      <c r="T11" s="99" t="s">
        <v>226</v>
      </c>
      <c r="U11" s="98"/>
      <c r="V11" s="102"/>
      <c r="W11" s="5"/>
      <c r="X11" s="5"/>
      <c r="Y11" s="5"/>
      <c r="Z11" s="5"/>
      <c r="AA11" s="5"/>
    </row>
    <row r="12" ht="22.5" customHeight="1">
      <c r="A12" s="18" t="s">
        <v>204</v>
      </c>
      <c r="B12" s="136" t="s">
        <v>237</v>
      </c>
      <c r="C12" s="19"/>
      <c r="D12" s="22" t="s">
        <v>238</v>
      </c>
      <c r="E12" s="24" t="s">
        <v>60</v>
      </c>
      <c r="F12" s="27" t="s">
        <v>62</v>
      </c>
      <c r="G12" s="31">
        <v>2019.0</v>
      </c>
      <c r="H12" s="31">
        <v>12.0</v>
      </c>
      <c r="I12" s="35"/>
      <c r="J12" s="38" t="s">
        <v>239</v>
      </c>
      <c r="K12" s="38" t="s">
        <v>240</v>
      </c>
      <c r="L12" s="31">
        <v>70.0</v>
      </c>
      <c r="M12" s="31">
        <v>12.0</v>
      </c>
      <c r="N12" s="38" t="s">
        <v>242</v>
      </c>
      <c r="O12" s="38" t="s">
        <v>243</v>
      </c>
      <c r="P12" s="19"/>
      <c r="Q12" s="19"/>
      <c r="R12" s="46"/>
      <c r="S12" s="19"/>
      <c r="T12" s="19"/>
      <c r="U12" s="35"/>
      <c r="V12" s="50"/>
      <c r="W12" s="122"/>
      <c r="X12" s="122"/>
      <c r="Y12" s="122"/>
      <c r="Z12" s="122"/>
      <c r="AA12" s="122"/>
      <c r="AB12" s="123"/>
    </row>
    <row r="13" ht="22.5" customHeight="1">
      <c r="A13" s="14" t="s">
        <v>213</v>
      </c>
      <c r="B13" s="126" t="s">
        <v>251</v>
      </c>
      <c r="C13" s="58"/>
      <c r="D13" s="25" t="s">
        <v>252</v>
      </c>
      <c r="E13" s="28" t="s">
        <v>60</v>
      </c>
      <c r="F13" s="27" t="s">
        <v>62</v>
      </c>
      <c r="G13" s="53">
        <v>2019.0</v>
      </c>
      <c r="H13" s="53">
        <v>11.0</v>
      </c>
      <c r="I13" s="39"/>
      <c r="J13" s="56" t="s">
        <v>253</v>
      </c>
      <c r="K13" s="56" t="s">
        <v>254</v>
      </c>
      <c r="L13" s="53">
        <v>41.0</v>
      </c>
      <c r="M13" s="53">
        <v>8.0</v>
      </c>
      <c r="N13" s="56" t="s">
        <v>256</v>
      </c>
      <c r="O13" s="56" t="s">
        <v>257</v>
      </c>
      <c r="P13" s="58"/>
      <c r="Q13" s="58"/>
      <c r="R13" s="138"/>
      <c r="S13" s="58"/>
      <c r="T13" s="58"/>
      <c r="U13" s="39"/>
      <c r="V13" s="79"/>
      <c r="W13" s="5"/>
      <c r="X13" s="5"/>
      <c r="Y13" s="5"/>
      <c r="Z13" s="5"/>
      <c r="AA13" s="5"/>
    </row>
    <row r="14" ht="22.5" customHeight="1">
      <c r="A14" s="18" t="s">
        <v>229</v>
      </c>
      <c r="B14" s="74" t="s">
        <v>201</v>
      </c>
      <c r="C14" s="58"/>
      <c r="D14" s="25" t="s">
        <v>202</v>
      </c>
      <c r="E14" s="28" t="s">
        <v>60</v>
      </c>
      <c r="F14" s="27" t="s">
        <v>62</v>
      </c>
      <c r="G14" s="53">
        <v>2020.0</v>
      </c>
      <c r="H14" s="53">
        <v>1.0</v>
      </c>
      <c r="I14" s="39"/>
      <c r="J14" s="56" t="s">
        <v>192</v>
      </c>
      <c r="K14" s="56" t="s">
        <v>193</v>
      </c>
      <c r="L14" s="53">
        <v>6.0</v>
      </c>
      <c r="M14" s="53">
        <v>1.0</v>
      </c>
      <c r="N14" s="58"/>
      <c r="O14" s="56" t="s">
        <v>203</v>
      </c>
      <c r="P14" s="58"/>
      <c r="Q14" s="58"/>
      <c r="R14" s="138"/>
      <c r="S14" s="58"/>
      <c r="T14" s="58"/>
      <c r="U14" s="39"/>
      <c r="V14" s="79"/>
      <c r="W14" s="5"/>
      <c r="X14" s="5"/>
      <c r="Y14" s="5"/>
      <c r="Z14" s="5"/>
      <c r="AA14" s="5"/>
    </row>
    <row r="15" ht="22.5" customHeight="1">
      <c r="A15" s="14" t="s">
        <v>241</v>
      </c>
      <c r="B15" s="133" t="s">
        <v>268</v>
      </c>
      <c r="C15" s="103" t="s">
        <v>269</v>
      </c>
      <c r="D15" s="111" t="s">
        <v>270</v>
      </c>
      <c r="E15" s="112" t="s">
        <v>60</v>
      </c>
      <c r="F15" s="27" t="s">
        <v>62</v>
      </c>
      <c r="G15" s="97">
        <v>2020.0</v>
      </c>
      <c r="H15" s="97">
        <v>4.0</v>
      </c>
      <c r="I15" s="98"/>
      <c r="J15" s="99" t="s">
        <v>272</v>
      </c>
      <c r="K15" s="99" t="s">
        <v>274</v>
      </c>
      <c r="L15" s="97">
        <v>32.0</v>
      </c>
      <c r="M15" s="97">
        <v>2.0</v>
      </c>
      <c r="N15" s="99" t="s">
        <v>275</v>
      </c>
      <c r="O15" s="99" t="s">
        <v>276</v>
      </c>
      <c r="P15" s="99" t="s">
        <v>77</v>
      </c>
      <c r="Q15" s="93"/>
      <c r="R15" s="142" t="s">
        <v>143</v>
      </c>
      <c r="S15" s="93"/>
      <c r="T15" s="99" t="s">
        <v>277</v>
      </c>
      <c r="U15" s="97">
        <v>3.253948E7</v>
      </c>
      <c r="V15" s="143" t="s">
        <v>279</v>
      </c>
      <c r="W15" s="5"/>
      <c r="X15" s="5"/>
      <c r="Y15" s="5"/>
      <c r="Z15" s="5"/>
      <c r="AA15" s="5"/>
    </row>
    <row r="16" ht="22.5" customHeight="1">
      <c r="A16" s="18" t="s">
        <v>255</v>
      </c>
      <c r="B16" s="88" t="s">
        <v>285</v>
      </c>
      <c r="C16" s="107" t="s">
        <v>287</v>
      </c>
      <c r="D16" s="22" t="s">
        <v>287</v>
      </c>
      <c r="E16" s="24" t="s">
        <v>60</v>
      </c>
      <c r="F16" s="27" t="s">
        <v>62</v>
      </c>
      <c r="G16" s="31">
        <v>2020.0</v>
      </c>
      <c r="H16" s="31">
        <v>10.0</v>
      </c>
      <c r="I16" s="35"/>
      <c r="J16" s="38" t="s">
        <v>207</v>
      </c>
      <c r="K16" s="19"/>
      <c r="L16" s="31">
        <v>4.0</v>
      </c>
      <c r="M16" s="35"/>
      <c r="N16" s="19"/>
      <c r="O16" s="38" t="s">
        <v>289</v>
      </c>
      <c r="P16" s="19"/>
      <c r="Q16" s="38" t="s">
        <v>78</v>
      </c>
      <c r="R16" s="127" t="s">
        <v>80</v>
      </c>
      <c r="S16" s="19"/>
      <c r="T16" s="38" t="s">
        <v>291</v>
      </c>
      <c r="U16" s="35"/>
      <c r="V16" s="50"/>
      <c r="W16" s="5"/>
      <c r="X16" s="5"/>
      <c r="Y16" s="5"/>
      <c r="Z16" s="5"/>
      <c r="AA16" s="5"/>
    </row>
    <row r="17" ht="22.5" customHeight="1">
      <c r="A17" s="14" t="s">
        <v>258</v>
      </c>
      <c r="B17" s="136" t="s">
        <v>299</v>
      </c>
      <c r="C17" s="107" t="s">
        <v>300</v>
      </c>
      <c r="D17" s="22" t="s">
        <v>302</v>
      </c>
      <c r="E17" s="24" t="s">
        <v>60</v>
      </c>
      <c r="F17" s="27" t="s">
        <v>62</v>
      </c>
      <c r="G17" s="31">
        <v>2020.0</v>
      </c>
      <c r="H17" s="31">
        <v>3.0</v>
      </c>
      <c r="I17" s="35"/>
      <c r="J17" s="38" t="s">
        <v>304</v>
      </c>
      <c r="K17" s="38" t="s">
        <v>305</v>
      </c>
      <c r="L17" s="31">
        <v>66.0</v>
      </c>
      <c r="M17" s="31">
        <v>3.0</v>
      </c>
      <c r="N17" s="38" t="s">
        <v>306</v>
      </c>
      <c r="O17" s="38" t="s">
        <v>307</v>
      </c>
      <c r="P17" s="38" t="s">
        <v>77</v>
      </c>
      <c r="Q17" s="19"/>
      <c r="R17" s="108" t="s">
        <v>143</v>
      </c>
      <c r="S17" s="19"/>
      <c r="T17" s="38" t="s">
        <v>308</v>
      </c>
      <c r="U17" s="31">
        <v>3.1690534E7</v>
      </c>
      <c r="V17" s="50"/>
      <c r="W17" s="5"/>
      <c r="X17" s="5"/>
      <c r="Y17" s="5"/>
      <c r="Z17" s="5"/>
      <c r="AA17" s="5"/>
    </row>
    <row r="18" ht="22.5" customHeight="1">
      <c r="A18" s="18" t="s">
        <v>266</v>
      </c>
      <c r="B18" s="146" t="s">
        <v>210</v>
      </c>
      <c r="C18" s="19"/>
      <c r="D18" s="22" t="s">
        <v>211</v>
      </c>
      <c r="E18" s="24" t="s">
        <v>60</v>
      </c>
      <c r="F18" s="27" t="s">
        <v>62</v>
      </c>
      <c r="G18" s="31">
        <v>2021.0</v>
      </c>
      <c r="H18" s="31">
        <v>1.0</v>
      </c>
      <c r="I18" s="35"/>
      <c r="J18" s="38" t="s">
        <v>66</v>
      </c>
      <c r="K18" s="38" t="s">
        <v>67</v>
      </c>
      <c r="L18" s="31">
        <v>23.0</v>
      </c>
      <c r="M18" s="31">
        <v>1.0</v>
      </c>
      <c r="N18" s="38" t="s">
        <v>216</v>
      </c>
      <c r="O18" s="38" t="s">
        <v>217</v>
      </c>
      <c r="P18" s="19"/>
      <c r="Q18" s="19"/>
      <c r="R18" s="46"/>
      <c r="S18" s="19"/>
      <c r="T18" s="19"/>
      <c r="U18" s="35"/>
      <c r="V18" s="50"/>
      <c r="W18" s="5"/>
      <c r="X18" s="5"/>
      <c r="Y18" s="5"/>
      <c r="Z18" s="5"/>
      <c r="AA18" s="5"/>
    </row>
    <row r="19" ht="22.5" customHeight="1">
      <c r="A19" s="14" t="s">
        <v>283</v>
      </c>
      <c r="B19" s="91" t="s">
        <v>227</v>
      </c>
      <c r="C19" s="21" t="s">
        <v>228</v>
      </c>
      <c r="D19" s="25" t="s">
        <v>230</v>
      </c>
      <c r="E19" s="28" t="s">
        <v>60</v>
      </c>
      <c r="F19" s="27" t="s">
        <v>62</v>
      </c>
      <c r="G19" s="53">
        <v>2021.0</v>
      </c>
      <c r="H19" s="53">
        <v>11.0</v>
      </c>
      <c r="I19" s="39"/>
      <c r="J19" s="56" t="s">
        <v>233</v>
      </c>
      <c r="K19" s="56" t="s">
        <v>234</v>
      </c>
      <c r="L19" s="53">
        <v>18.0</v>
      </c>
      <c r="M19" s="53">
        <v>5.0</v>
      </c>
      <c r="N19" s="147">
        <v>444.0</v>
      </c>
      <c r="O19" s="56" t="s">
        <v>235</v>
      </c>
      <c r="P19" s="56" t="s">
        <v>77</v>
      </c>
      <c r="Q19" s="58"/>
      <c r="R19" s="148" t="s">
        <v>236</v>
      </c>
      <c r="S19" s="58"/>
      <c r="T19" s="58"/>
      <c r="U19" s="53">
        <v>3.4823648E7</v>
      </c>
      <c r="V19" s="79"/>
      <c r="W19" s="5"/>
      <c r="X19" s="5"/>
      <c r="Y19" s="5"/>
      <c r="Z19" s="5"/>
      <c r="AA19" s="5"/>
    </row>
    <row r="20" ht="22.5" customHeight="1">
      <c r="A20" s="18" t="s">
        <v>293</v>
      </c>
      <c r="B20" s="131" t="s">
        <v>286</v>
      </c>
      <c r="C20" s="103" t="s">
        <v>288</v>
      </c>
      <c r="D20" s="111" t="s">
        <v>288</v>
      </c>
      <c r="E20" s="112" t="s">
        <v>60</v>
      </c>
      <c r="F20" s="27" t="s">
        <v>62</v>
      </c>
      <c r="G20" s="97">
        <v>2021.0</v>
      </c>
      <c r="H20" s="97">
        <v>1.0</v>
      </c>
      <c r="I20" s="98"/>
      <c r="J20" s="99" t="s">
        <v>207</v>
      </c>
      <c r="K20" s="93"/>
      <c r="L20" s="97">
        <v>4.0</v>
      </c>
      <c r="M20" s="98"/>
      <c r="N20" s="93"/>
      <c r="O20" s="99" t="s">
        <v>290</v>
      </c>
      <c r="P20" s="93"/>
      <c r="Q20" s="99" t="s">
        <v>78</v>
      </c>
      <c r="R20" s="132" t="s">
        <v>80</v>
      </c>
      <c r="S20" s="93"/>
      <c r="T20" s="99" t="s">
        <v>292</v>
      </c>
      <c r="U20" s="98"/>
      <c r="V20" s="102"/>
      <c r="W20" s="5"/>
      <c r="X20" s="5"/>
      <c r="Y20" s="5"/>
      <c r="Z20" s="5"/>
      <c r="AA20" s="5"/>
    </row>
    <row r="21" ht="22.5" customHeight="1">
      <c r="A21" s="14" t="s">
        <v>301</v>
      </c>
      <c r="B21" s="88" t="s">
        <v>319</v>
      </c>
      <c r="C21" s="107" t="s">
        <v>320</v>
      </c>
      <c r="D21" s="22" t="s">
        <v>320</v>
      </c>
      <c r="E21" s="24" t="s">
        <v>60</v>
      </c>
      <c r="F21" s="27" t="s">
        <v>62</v>
      </c>
      <c r="G21" s="31">
        <v>2021.0</v>
      </c>
      <c r="H21" s="31">
        <v>5.0</v>
      </c>
      <c r="I21" s="35"/>
      <c r="J21" s="38" t="s">
        <v>322</v>
      </c>
      <c r="K21" s="38" t="s">
        <v>323</v>
      </c>
      <c r="L21" s="31">
        <v>23.0</v>
      </c>
      <c r="M21" s="31">
        <v>1.0</v>
      </c>
      <c r="N21" s="38" t="s">
        <v>324</v>
      </c>
      <c r="O21" s="38" t="s">
        <v>325</v>
      </c>
      <c r="P21" s="19"/>
      <c r="Q21" s="38" t="s">
        <v>78</v>
      </c>
      <c r="R21" s="127" t="s">
        <v>80</v>
      </c>
      <c r="S21" s="19"/>
      <c r="T21" s="38" t="s">
        <v>326</v>
      </c>
      <c r="U21" s="35"/>
      <c r="V21" s="50"/>
      <c r="W21" s="5"/>
      <c r="X21" s="5"/>
      <c r="Y21" s="5"/>
      <c r="Z21" s="5"/>
      <c r="AA21" s="5"/>
    </row>
    <row r="22" ht="22.5" customHeight="1">
      <c r="A22" s="18" t="s">
        <v>309</v>
      </c>
      <c r="B22" s="126" t="s">
        <v>362</v>
      </c>
      <c r="C22" s="58"/>
      <c r="D22" s="25" t="s">
        <v>364</v>
      </c>
      <c r="E22" s="28" t="s">
        <v>60</v>
      </c>
      <c r="F22" s="27" t="s">
        <v>62</v>
      </c>
      <c r="G22" s="53">
        <v>2021.0</v>
      </c>
      <c r="H22" s="53">
        <v>5.0</v>
      </c>
      <c r="I22" s="39"/>
      <c r="J22" s="56" t="s">
        <v>365</v>
      </c>
      <c r="K22" s="56" t="s">
        <v>366</v>
      </c>
      <c r="L22" s="53">
        <v>24.0</v>
      </c>
      <c r="M22" s="53">
        <v>3.0</v>
      </c>
      <c r="N22" s="56" t="s">
        <v>369</v>
      </c>
      <c r="O22" s="56" t="s">
        <v>370</v>
      </c>
      <c r="P22" s="58"/>
      <c r="Q22" s="58"/>
      <c r="R22" s="138"/>
      <c r="S22" s="58"/>
      <c r="T22" s="58"/>
      <c r="U22" s="39"/>
      <c r="V22" s="79"/>
      <c r="W22" s="5"/>
      <c r="X22" s="5"/>
      <c r="Y22" s="5"/>
      <c r="Z22" s="5"/>
      <c r="AA22" s="5"/>
    </row>
    <row r="23" ht="22.5" customHeight="1">
      <c r="A23" s="14" t="s">
        <v>317</v>
      </c>
      <c r="B23" s="133" t="s">
        <v>372</v>
      </c>
      <c r="C23" s="103" t="s">
        <v>373</v>
      </c>
      <c r="D23" s="111" t="s">
        <v>373</v>
      </c>
      <c r="E23" s="112" t="s">
        <v>60</v>
      </c>
      <c r="F23" s="27" t="s">
        <v>62</v>
      </c>
      <c r="G23" s="97">
        <v>2021.0</v>
      </c>
      <c r="H23" s="98"/>
      <c r="I23" s="98"/>
      <c r="J23" s="93"/>
      <c r="K23" s="93"/>
      <c r="L23" s="98"/>
      <c r="M23" s="98"/>
      <c r="N23" s="93"/>
      <c r="O23" s="99" t="s">
        <v>374</v>
      </c>
      <c r="P23" s="93"/>
      <c r="Q23" s="99" t="s">
        <v>78</v>
      </c>
      <c r="R23" s="132" t="s">
        <v>80</v>
      </c>
      <c r="S23" s="93"/>
      <c r="T23" s="99" t="s">
        <v>375</v>
      </c>
      <c r="U23" s="98"/>
      <c r="V23" s="102"/>
      <c r="W23" s="5"/>
      <c r="X23" s="5"/>
      <c r="Y23" s="5"/>
      <c r="Z23" s="5"/>
      <c r="AA23" s="5"/>
    </row>
    <row r="24" ht="22.5" customHeight="1">
      <c r="A24" s="18" t="s">
        <v>327</v>
      </c>
      <c r="B24" s="88" t="s">
        <v>384</v>
      </c>
      <c r="C24" s="19"/>
      <c r="D24" s="22" t="s">
        <v>385</v>
      </c>
      <c r="E24" s="24" t="s">
        <v>60</v>
      </c>
      <c r="F24" s="27" t="s">
        <v>62</v>
      </c>
      <c r="G24" s="31">
        <v>2021.0</v>
      </c>
      <c r="H24" s="31">
        <v>4.0</v>
      </c>
      <c r="I24" s="35"/>
      <c r="J24" s="38" t="s">
        <v>184</v>
      </c>
      <c r="K24" s="38" t="s">
        <v>185</v>
      </c>
      <c r="L24" s="31">
        <v>21.0</v>
      </c>
      <c r="M24" s="31">
        <v>3.0</v>
      </c>
      <c r="N24" s="38" t="s">
        <v>386</v>
      </c>
      <c r="O24" s="38" t="s">
        <v>387</v>
      </c>
      <c r="P24" s="19"/>
      <c r="Q24" s="19"/>
      <c r="R24" s="46"/>
      <c r="S24" s="19"/>
      <c r="T24" s="19"/>
      <c r="U24" s="35"/>
      <c r="V24" s="50"/>
      <c r="W24" s="5"/>
      <c r="X24" s="5"/>
      <c r="Y24" s="5"/>
      <c r="Z24" s="5"/>
      <c r="AA24" s="5"/>
    </row>
    <row r="25" ht="22.5" customHeight="1">
      <c r="A25" s="14" t="s">
        <v>338</v>
      </c>
      <c r="B25" s="133" t="s">
        <v>391</v>
      </c>
      <c r="C25" s="154" t="s">
        <v>392</v>
      </c>
      <c r="D25" s="156" t="s">
        <v>393</v>
      </c>
      <c r="E25" s="157" t="s">
        <v>60</v>
      </c>
      <c r="F25" s="27" t="s">
        <v>62</v>
      </c>
      <c r="G25" s="158">
        <v>2021.0</v>
      </c>
      <c r="H25" s="158">
        <v>3.0</v>
      </c>
      <c r="I25" s="158">
        <v>12.0</v>
      </c>
      <c r="J25" s="92" t="s">
        <v>394</v>
      </c>
      <c r="K25" s="92" t="s">
        <v>395</v>
      </c>
      <c r="L25" s="158">
        <v>36.0</v>
      </c>
      <c r="M25" s="158">
        <v>1.0</v>
      </c>
      <c r="N25" s="92" t="s">
        <v>396</v>
      </c>
      <c r="O25" s="92" t="s">
        <v>397</v>
      </c>
      <c r="P25" s="92" t="s">
        <v>77</v>
      </c>
      <c r="Q25" s="93"/>
      <c r="R25" s="159" t="s">
        <v>398</v>
      </c>
      <c r="S25" s="93"/>
      <c r="T25" s="92" t="s">
        <v>399</v>
      </c>
      <c r="U25" s="158">
        <v>3.2577721E7</v>
      </c>
      <c r="V25" s="102"/>
      <c r="W25" s="5"/>
      <c r="X25" s="5"/>
      <c r="Y25" s="5"/>
      <c r="Z25" s="5"/>
      <c r="AA25" s="5"/>
    </row>
    <row r="26" ht="22.5" customHeight="1">
      <c r="A26" s="18" t="s">
        <v>349</v>
      </c>
      <c r="B26" s="161" t="s">
        <v>45</v>
      </c>
      <c r="C26" s="103" t="s">
        <v>46</v>
      </c>
      <c r="D26" s="111" t="s">
        <v>55</v>
      </c>
      <c r="E26" s="112" t="s">
        <v>60</v>
      </c>
      <c r="F26" s="27" t="s">
        <v>62</v>
      </c>
      <c r="G26" s="97">
        <v>2022.0</v>
      </c>
      <c r="H26" s="97">
        <v>5.0</v>
      </c>
      <c r="I26" s="97">
        <v>27.0</v>
      </c>
      <c r="J26" s="99" t="s">
        <v>72</v>
      </c>
      <c r="K26" s="99" t="s">
        <v>73</v>
      </c>
      <c r="L26" s="97">
        <v>19.0</v>
      </c>
      <c r="M26" s="97">
        <v>11.0</v>
      </c>
      <c r="N26" s="93"/>
      <c r="O26" s="99" t="s">
        <v>76</v>
      </c>
      <c r="P26" s="99" t="s">
        <v>77</v>
      </c>
      <c r="Q26" s="93"/>
      <c r="R26" s="162" t="s">
        <v>79</v>
      </c>
      <c r="S26" s="93"/>
      <c r="T26" s="99" t="s">
        <v>81</v>
      </c>
      <c r="U26" s="97">
        <v>3.5682144E7</v>
      </c>
      <c r="V26" s="143" t="s">
        <v>83</v>
      </c>
      <c r="W26" s="5"/>
      <c r="X26" s="5"/>
      <c r="Y26" s="5"/>
      <c r="Z26" s="5"/>
      <c r="AA26" s="5"/>
    </row>
    <row r="27" ht="22.5" customHeight="1">
      <c r="A27" s="14" t="s">
        <v>363</v>
      </c>
      <c r="B27" s="133" t="s">
        <v>310</v>
      </c>
      <c r="C27" s="103" t="s">
        <v>311</v>
      </c>
      <c r="D27" s="111" t="s">
        <v>312</v>
      </c>
      <c r="E27" s="112" t="s">
        <v>60</v>
      </c>
      <c r="F27" s="27" t="s">
        <v>62</v>
      </c>
      <c r="G27" s="97">
        <v>2022.0</v>
      </c>
      <c r="H27" s="98"/>
      <c r="I27" s="98"/>
      <c r="J27" s="99" t="s">
        <v>313</v>
      </c>
      <c r="K27" s="99" t="s">
        <v>314</v>
      </c>
      <c r="L27" s="97">
        <v>4.0</v>
      </c>
      <c r="M27" s="98"/>
      <c r="N27" s="134">
        <v>900695.0</v>
      </c>
      <c r="O27" s="99" t="s">
        <v>315</v>
      </c>
      <c r="P27" s="99" t="s">
        <v>77</v>
      </c>
      <c r="Q27" s="93"/>
      <c r="R27" s="162" t="s">
        <v>79</v>
      </c>
      <c r="S27" s="93"/>
      <c r="T27" s="93"/>
      <c r="U27" s="97">
        <v>3.5832658E7</v>
      </c>
      <c r="V27" s="143" t="s">
        <v>316</v>
      </c>
      <c r="W27" s="5"/>
      <c r="X27" s="5"/>
      <c r="Y27" s="5"/>
      <c r="Z27" s="5"/>
      <c r="AA27" s="5"/>
    </row>
    <row r="28" ht="22.5" customHeight="1">
      <c r="A28" s="18" t="s">
        <v>376</v>
      </c>
      <c r="B28" s="144" t="s">
        <v>417</v>
      </c>
      <c r="C28" s="58"/>
      <c r="D28" s="25" t="s">
        <v>418</v>
      </c>
      <c r="E28" s="28" t="s">
        <v>60</v>
      </c>
      <c r="F28" s="27" t="s">
        <v>62</v>
      </c>
      <c r="G28" s="53">
        <v>2022.0</v>
      </c>
      <c r="H28" s="39"/>
      <c r="I28" s="39"/>
      <c r="J28" s="56" t="s">
        <v>421</v>
      </c>
      <c r="K28" s="58"/>
      <c r="L28" s="53">
        <v>10.0</v>
      </c>
      <c r="M28" s="53">
        <v>2.0</v>
      </c>
      <c r="N28" s="56" t="s">
        <v>422</v>
      </c>
      <c r="O28" s="56" t="s">
        <v>423</v>
      </c>
      <c r="P28" s="58"/>
      <c r="Q28" s="58"/>
      <c r="R28" s="138"/>
      <c r="S28" s="58"/>
      <c r="T28" s="58"/>
      <c r="U28" s="39"/>
      <c r="V28" s="79"/>
      <c r="W28" s="5"/>
      <c r="X28" s="5"/>
      <c r="Y28" s="5"/>
      <c r="Z28" s="5"/>
      <c r="AA28" s="5"/>
    </row>
    <row r="29" ht="22.5" customHeight="1">
      <c r="A29" s="14" t="s">
        <v>388</v>
      </c>
      <c r="B29" s="144" t="s">
        <v>426</v>
      </c>
      <c r="C29" s="58"/>
      <c r="D29" s="25" t="s">
        <v>428</v>
      </c>
      <c r="E29" s="28" t="s">
        <v>60</v>
      </c>
      <c r="F29" s="27" t="s">
        <v>62</v>
      </c>
      <c r="G29" s="53">
        <v>2022.0</v>
      </c>
      <c r="H29" s="53">
        <v>1.0</v>
      </c>
      <c r="I29" s="39"/>
      <c r="J29" s="56" t="s">
        <v>253</v>
      </c>
      <c r="K29" s="56" t="s">
        <v>254</v>
      </c>
      <c r="L29" s="53">
        <v>44.0</v>
      </c>
      <c r="M29" s="53">
        <v>1.0</v>
      </c>
      <c r="N29" s="56" t="s">
        <v>429</v>
      </c>
      <c r="O29" s="56" t="s">
        <v>430</v>
      </c>
      <c r="P29" s="58"/>
      <c r="Q29" s="58"/>
      <c r="R29" s="138"/>
      <c r="S29" s="58"/>
      <c r="T29" s="58"/>
      <c r="U29" s="39"/>
      <c r="V29" s="79"/>
      <c r="W29" s="5"/>
      <c r="X29" s="5"/>
      <c r="Y29" s="5"/>
      <c r="Z29" s="5"/>
      <c r="AA29" s="5"/>
    </row>
    <row r="30" ht="22.5" customHeight="1">
      <c r="A30" s="18" t="s">
        <v>400</v>
      </c>
      <c r="B30" s="161" t="s">
        <v>159</v>
      </c>
      <c r="C30" s="113"/>
      <c r="D30" s="114" t="s">
        <v>162</v>
      </c>
      <c r="E30" s="115" t="s">
        <v>60</v>
      </c>
      <c r="F30" s="27" t="s">
        <v>62</v>
      </c>
      <c r="G30" s="116">
        <v>2023.0</v>
      </c>
      <c r="H30" s="116">
        <v>1.0</v>
      </c>
      <c r="I30" s="117"/>
      <c r="J30" s="118" t="s">
        <v>164</v>
      </c>
      <c r="K30" s="118" t="s">
        <v>165</v>
      </c>
      <c r="L30" s="116">
        <v>25.0</v>
      </c>
      <c r="M30" s="116">
        <v>1.0</v>
      </c>
      <c r="N30" s="118" t="s">
        <v>166</v>
      </c>
      <c r="O30" s="118" t="s">
        <v>167</v>
      </c>
      <c r="P30" s="113"/>
      <c r="Q30" s="113"/>
      <c r="R30" s="119"/>
      <c r="S30" s="113"/>
      <c r="T30" s="113"/>
      <c r="U30" s="117"/>
      <c r="V30" s="120"/>
      <c r="W30" s="5"/>
      <c r="X30" s="5"/>
      <c r="Y30" s="5"/>
      <c r="Z30" s="5"/>
      <c r="AA30" s="5"/>
    </row>
    <row r="31" ht="22.5" customHeight="1">
      <c r="A31" s="14" t="s">
        <v>406</v>
      </c>
      <c r="B31" s="131" t="s">
        <v>407</v>
      </c>
      <c r="C31" s="93"/>
      <c r="D31" s="111" t="s">
        <v>408</v>
      </c>
      <c r="E31" s="112" t="s">
        <v>60</v>
      </c>
      <c r="F31" s="27" t="s">
        <v>62</v>
      </c>
      <c r="G31" s="97">
        <v>2023.0</v>
      </c>
      <c r="H31" s="97">
        <v>6.0</v>
      </c>
      <c r="I31" s="98"/>
      <c r="J31" s="99" t="s">
        <v>129</v>
      </c>
      <c r="K31" s="99" t="s">
        <v>130</v>
      </c>
      <c r="L31" s="97">
        <v>143.0</v>
      </c>
      <c r="M31" s="98"/>
      <c r="N31" s="93"/>
      <c r="O31" s="99" t="s">
        <v>409</v>
      </c>
      <c r="P31" s="93"/>
      <c r="Q31" s="93"/>
      <c r="R31" s="100"/>
      <c r="S31" s="93"/>
      <c r="T31" s="93"/>
      <c r="U31" s="98"/>
      <c r="V31" s="102"/>
      <c r="W31" s="5"/>
      <c r="X31" s="5"/>
      <c r="Y31" s="5"/>
      <c r="Z31" s="5"/>
      <c r="AA31" s="5"/>
    </row>
    <row r="32" ht="22.5" customHeight="1">
      <c r="A32" s="18" t="s">
        <v>410</v>
      </c>
      <c r="B32" s="133" t="s">
        <v>411</v>
      </c>
      <c r="C32" s="93"/>
      <c r="D32" s="111" t="s">
        <v>412</v>
      </c>
      <c r="E32" s="112" t="s">
        <v>60</v>
      </c>
      <c r="F32" s="27" t="s">
        <v>62</v>
      </c>
      <c r="G32" s="97">
        <v>2023.0</v>
      </c>
      <c r="H32" s="97">
        <v>10.0</v>
      </c>
      <c r="I32" s="98"/>
      <c r="J32" s="99" t="s">
        <v>413</v>
      </c>
      <c r="K32" s="99" t="s">
        <v>414</v>
      </c>
      <c r="L32" s="97">
        <v>20.0</v>
      </c>
      <c r="M32" s="97">
        <v>4.0</v>
      </c>
      <c r="N32" s="99" t="s">
        <v>415</v>
      </c>
      <c r="O32" s="99" t="s">
        <v>416</v>
      </c>
      <c r="P32" s="93"/>
      <c r="Q32" s="93"/>
      <c r="R32" s="100"/>
      <c r="S32" s="93"/>
      <c r="T32" s="93"/>
      <c r="U32" s="98"/>
      <c r="V32" s="102"/>
      <c r="W32" s="5"/>
      <c r="X32" s="5"/>
      <c r="Y32" s="5"/>
      <c r="Z32" s="5"/>
      <c r="AA32" s="5"/>
    </row>
    <row r="33" ht="22.5" customHeight="1">
      <c r="A33" s="14" t="s">
        <v>419</v>
      </c>
      <c r="B33" s="144" t="s">
        <v>455</v>
      </c>
      <c r="C33" s="58"/>
      <c r="D33" s="25" t="s">
        <v>456</v>
      </c>
      <c r="E33" s="28" t="s">
        <v>60</v>
      </c>
      <c r="F33" s="27" t="s">
        <v>62</v>
      </c>
      <c r="G33" s="53">
        <v>2023.0</v>
      </c>
      <c r="H33" s="53">
        <v>6.0</v>
      </c>
      <c r="I33" s="39"/>
      <c r="J33" s="56" t="s">
        <v>459</v>
      </c>
      <c r="K33" s="56" t="s">
        <v>460</v>
      </c>
      <c r="L33" s="53">
        <v>17.0</v>
      </c>
      <c r="M33" s="53">
        <v>6.0</v>
      </c>
      <c r="N33" s="58"/>
      <c r="O33" s="56" t="s">
        <v>461</v>
      </c>
      <c r="P33" s="58"/>
      <c r="Q33" s="58"/>
      <c r="R33" s="138"/>
      <c r="S33" s="58"/>
      <c r="T33" s="58"/>
      <c r="U33" s="39"/>
      <c r="V33" s="79"/>
      <c r="W33" s="5"/>
      <c r="X33" s="5"/>
      <c r="Y33" s="5"/>
      <c r="Z33" s="5"/>
      <c r="AA33" s="5"/>
    </row>
    <row r="34" ht="22.5" customHeight="1">
      <c r="A34" s="18" t="s">
        <v>425</v>
      </c>
      <c r="B34" s="133" t="s">
        <v>350</v>
      </c>
      <c r="C34" s="103" t="s">
        <v>351</v>
      </c>
      <c r="D34" s="111" t="s">
        <v>352</v>
      </c>
      <c r="E34" s="112" t="s">
        <v>60</v>
      </c>
      <c r="F34" s="27" t="s">
        <v>62</v>
      </c>
      <c r="G34" s="97">
        <v>2024.0</v>
      </c>
      <c r="H34" s="97">
        <v>10.0</v>
      </c>
      <c r="I34" s="98"/>
      <c r="J34" s="99" t="s">
        <v>353</v>
      </c>
      <c r="K34" s="99" t="s">
        <v>354</v>
      </c>
      <c r="L34" s="97">
        <v>33.0</v>
      </c>
      <c r="M34" s="97">
        <v>10.0</v>
      </c>
      <c r="N34" s="99" t="s">
        <v>355</v>
      </c>
      <c r="O34" s="99" t="s">
        <v>356</v>
      </c>
      <c r="P34" s="99" t="s">
        <v>77</v>
      </c>
      <c r="Q34" s="93"/>
      <c r="R34" s="152" t="s">
        <v>357</v>
      </c>
      <c r="S34" s="93"/>
      <c r="T34" s="99" t="s">
        <v>358</v>
      </c>
      <c r="U34" s="97">
        <v>3.849343E7</v>
      </c>
      <c r="V34" s="143" t="s">
        <v>359</v>
      </c>
      <c r="W34" s="5"/>
      <c r="X34" s="5"/>
      <c r="Y34" s="5"/>
      <c r="Z34" s="5"/>
      <c r="AA34" s="5"/>
    </row>
    <row r="35" ht="22.5" customHeight="1">
      <c r="A35" s="14" t="s">
        <v>431</v>
      </c>
      <c r="B35" s="144" t="s">
        <v>471</v>
      </c>
      <c r="C35" s="58"/>
      <c r="D35" s="25" t="s">
        <v>472</v>
      </c>
      <c r="E35" s="28" t="s">
        <v>60</v>
      </c>
      <c r="F35" s="27" t="s">
        <v>62</v>
      </c>
      <c r="G35" s="53">
        <v>2024.0</v>
      </c>
      <c r="H35" s="53">
        <v>10.0</v>
      </c>
      <c r="I35" s="39"/>
      <c r="J35" s="56" t="s">
        <v>192</v>
      </c>
      <c r="K35" s="56" t="s">
        <v>193</v>
      </c>
      <c r="L35" s="53">
        <v>10.0</v>
      </c>
      <c r="M35" s="53">
        <v>4.0</v>
      </c>
      <c r="N35" s="58"/>
      <c r="O35" s="56" t="s">
        <v>475</v>
      </c>
      <c r="P35" s="58"/>
      <c r="Q35" s="58"/>
      <c r="R35" s="138"/>
      <c r="S35" s="58"/>
      <c r="T35" s="58"/>
      <c r="U35" s="39"/>
      <c r="V35" s="79"/>
      <c r="W35" s="5"/>
      <c r="X35" s="5"/>
      <c r="Y35" s="5"/>
      <c r="Z35" s="5"/>
      <c r="AA35" s="5"/>
    </row>
    <row r="36" ht="22.5" customHeight="1">
      <c r="A36" s="18" t="s">
        <v>437</v>
      </c>
      <c r="B36" s="88" t="s">
        <v>487</v>
      </c>
      <c r="C36" s="19"/>
      <c r="D36" s="22" t="s">
        <v>488</v>
      </c>
      <c r="E36" s="24" t="s">
        <v>60</v>
      </c>
      <c r="F36" s="27" t="s">
        <v>62</v>
      </c>
      <c r="G36" s="31">
        <v>2024.0</v>
      </c>
      <c r="H36" s="31">
        <v>9.0</v>
      </c>
      <c r="I36" s="35"/>
      <c r="J36" s="38" t="s">
        <v>491</v>
      </c>
      <c r="K36" s="19"/>
      <c r="L36" s="31">
        <v>13.0</v>
      </c>
      <c r="M36" s="31">
        <v>9.0</v>
      </c>
      <c r="N36" s="19"/>
      <c r="O36" s="38" t="s">
        <v>492</v>
      </c>
      <c r="P36" s="19"/>
      <c r="Q36" s="19"/>
      <c r="R36" s="46"/>
      <c r="S36" s="19"/>
      <c r="T36" s="19"/>
      <c r="U36" s="35"/>
      <c r="V36" s="50"/>
      <c r="W36" s="5"/>
      <c r="X36" s="5"/>
      <c r="Y36" s="5"/>
      <c r="Z36" s="5"/>
      <c r="AA36" s="5"/>
    </row>
    <row r="37" ht="22.5" customHeight="1">
      <c r="A37" s="14" t="s">
        <v>441</v>
      </c>
      <c r="B37" s="136" t="s">
        <v>495</v>
      </c>
      <c r="C37" s="107" t="s">
        <v>497</v>
      </c>
      <c r="D37" s="22" t="s">
        <v>499</v>
      </c>
      <c r="E37" s="24" t="s">
        <v>60</v>
      </c>
      <c r="F37" s="27" t="s">
        <v>62</v>
      </c>
      <c r="G37" s="31">
        <v>2024.0</v>
      </c>
      <c r="H37" s="35"/>
      <c r="I37" s="35"/>
      <c r="J37" s="38" t="s">
        <v>501</v>
      </c>
      <c r="K37" s="38" t="s">
        <v>502</v>
      </c>
      <c r="L37" s="31">
        <v>25.0</v>
      </c>
      <c r="M37" s="31">
        <v>1.0</v>
      </c>
      <c r="N37" s="38" t="s">
        <v>503</v>
      </c>
      <c r="O37" s="38" t="s">
        <v>504</v>
      </c>
      <c r="P37" s="38" t="s">
        <v>77</v>
      </c>
      <c r="Q37" s="19"/>
      <c r="R37" s="108" t="s">
        <v>143</v>
      </c>
      <c r="S37" s="19"/>
      <c r="T37" s="19"/>
      <c r="U37" s="31">
        <v>3.8328588E7</v>
      </c>
      <c r="V37" s="109" t="s">
        <v>507</v>
      </c>
      <c r="W37" s="5"/>
      <c r="X37" s="5"/>
      <c r="Y37" s="5"/>
      <c r="Z37" s="5"/>
      <c r="AA37" s="5"/>
    </row>
    <row r="38" ht="22.5" customHeight="1">
      <c r="A38" s="18" t="s">
        <v>448</v>
      </c>
      <c r="B38" s="144" t="s">
        <v>514</v>
      </c>
      <c r="C38" s="58"/>
      <c r="D38" s="25" t="s">
        <v>515</v>
      </c>
      <c r="E38" s="28" t="s">
        <v>60</v>
      </c>
      <c r="F38" s="27" t="s">
        <v>62</v>
      </c>
      <c r="G38" s="53">
        <v>2024.0</v>
      </c>
      <c r="H38" s="53">
        <v>7.0</v>
      </c>
      <c r="I38" s="39"/>
      <c r="J38" s="56" t="s">
        <v>517</v>
      </c>
      <c r="K38" s="56" t="s">
        <v>518</v>
      </c>
      <c r="L38" s="53">
        <v>34.0</v>
      </c>
      <c r="M38" s="53">
        <v>4.0</v>
      </c>
      <c r="N38" s="58"/>
      <c r="O38" s="56" t="s">
        <v>519</v>
      </c>
      <c r="P38" s="58"/>
      <c r="Q38" s="58"/>
      <c r="R38" s="138"/>
      <c r="S38" s="58"/>
      <c r="T38" s="58"/>
      <c r="U38" s="39"/>
      <c r="V38" s="79"/>
      <c r="W38" s="5"/>
      <c r="X38" s="5"/>
      <c r="Y38" s="5"/>
      <c r="Z38" s="5"/>
      <c r="AA38" s="5"/>
    </row>
    <row r="39" ht="22.5" customHeight="1">
      <c r="A39" s="14" t="s">
        <v>450</v>
      </c>
      <c r="B39" s="128" t="s">
        <v>524</v>
      </c>
      <c r="C39" s="113"/>
      <c r="D39" s="114" t="s">
        <v>525</v>
      </c>
      <c r="E39" s="115" t="s">
        <v>60</v>
      </c>
      <c r="F39" s="27" t="s">
        <v>62</v>
      </c>
      <c r="G39" s="116">
        <v>2024.0</v>
      </c>
      <c r="H39" s="117"/>
      <c r="I39" s="117"/>
      <c r="J39" s="118" t="s">
        <v>526</v>
      </c>
      <c r="K39" s="118" t="s">
        <v>527</v>
      </c>
      <c r="L39" s="117"/>
      <c r="M39" s="117"/>
      <c r="N39" s="113"/>
      <c r="O39" s="118" t="s">
        <v>528</v>
      </c>
      <c r="P39" s="113"/>
      <c r="Q39" s="113"/>
      <c r="R39" s="119"/>
      <c r="S39" s="113"/>
      <c r="T39" s="113"/>
      <c r="U39" s="117"/>
      <c r="V39" s="120"/>
      <c r="W39" s="5"/>
      <c r="X39" s="5"/>
      <c r="Y39" s="5"/>
      <c r="Z39" s="5"/>
      <c r="AA39" s="5"/>
    </row>
    <row r="40" ht="22.5" customHeight="1">
      <c r="A40" s="18" t="s">
        <v>462</v>
      </c>
      <c r="B40" s="128" t="s">
        <v>532</v>
      </c>
      <c r="C40" s="33" t="s">
        <v>533</v>
      </c>
      <c r="D40" s="40" t="s">
        <v>533</v>
      </c>
      <c r="E40" s="42" t="s">
        <v>60</v>
      </c>
      <c r="F40" s="27" t="s">
        <v>62</v>
      </c>
      <c r="G40" s="47">
        <v>2024.0</v>
      </c>
      <c r="H40" s="47">
        <v>4.0</v>
      </c>
      <c r="I40" s="49"/>
      <c r="J40" s="57" t="s">
        <v>207</v>
      </c>
      <c r="K40" s="54"/>
      <c r="L40" s="47">
        <v>8.0</v>
      </c>
      <c r="M40" s="49"/>
      <c r="N40" s="54"/>
      <c r="O40" s="57" t="s">
        <v>535</v>
      </c>
      <c r="P40" s="54"/>
      <c r="Q40" s="57" t="s">
        <v>78</v>
      </c>
      <c r="R40" s="60" t="s">
        <v>80</v>
      </c>
      <c r="S40" s="54"/>
      <c r="T40" s="57" t="s">
        <v>536</v>
      </c>
      <c r="U40" s="49"/>
      <c r="V40" s="62"/>
      <c r="W40" s="5"/>
      <c r="X40" s="5"/>
      <c r="Y40" s="5"/>
      <c r="Z40" s="5"/>
      <c r="AA40" s="5"/>
    </row>
    <row r="41" ht="22.5" customHeight="1">
      <c r="A41" s="14" t="s">
        <v>468</v>
      </c>
      <c r="B41" s="124" t="s">
        <v>176</v>
      </c>
      <c r="C41" s="54"/>
      <c r="D41" s="40" t="s">
        <v>178</v>
      </c>
      <c r="E41" s="42" t="s">
        <v>60</v>
      </c>
      <c r="F41" s="27" t="s">
        <v>62</v>
      </c>
      <c r="G41" s="47">
        <v>2025.0</v>
      </c>
      <c r="H41" s="47">
        <v>4.0</v>
      </c>
      <c r="I41" s="49"/>
      <c r="J41" s="57" t="s">
        <v>184</v>
      </c>
      <c r="K41" s="57" t="s">
        <v>185</v>
      </c>
      <c r="L41" s="47">
        <v>25.0</v>
      </c>
      <c r="M41" s="47">
        <v>3.0</v>
      </c>
      <c r="N41" s="57" t="s">
        <v>186</v>
      </c>
      <c r="O41" s="57" t="s">
        <v>187</v>
      </c>
      <c r="P41" s="54"/>
      <c r="Q41" s="54"/>
      <c r="R41" s="106"/>
      <c r="S41" s="54"/>
      <c r="T41" s="54"/>
      <c r="U41" s="49"/>
      <c r="V41" s="62"/>
      <c r="W41" s="5"/>
      <c r="X41" s="5"/>
      <c r="Y41" s="5"/>
      <c r="Z41" s="5"/>
      <c r="AA41" s="5"/>
    </row>
    <row r="42" ht="22.5" customHeight="1">
      <c r="A42" s="18" t="s">
        <v>473</v>
      </c>
      <c r="B42" s="110" t="s">
        <v>244</v>
      </c>
      <c r="C42" s="107" t="s">
        <v>245</v>
      </c>
      <c r="D42" s="22" t="s">
        <v>246</v>
      </c>
      <c r="E42" s="24" t="s">
        <v>60</v>
      </c>
      <c r="F42" s="27" t="s">
        <v>62</v>
      </c>
      <c r="G42" s="31">
        <v>2025.0</v>
      </c>
      <c r="H42" s="31">
        <v>7.0</v>
      </c>
      <c r="I42" s="31">
        <v>23.0</v>
      </c>
      <c r="J42" s="38" t="s">
        <v>90</v>
      </c>
      <c r="K42" s="38" t="s">
        <v>91</v>
      </c>
      <c r="L42" s="31">
        <v>27.0</v>
      </c>
      <c r="M42" s="35"/>
      <c r="N42" s="38" t="s">
        <v>247</v>
      </c>
      <c r="O42" s="38" t="s">
        <v>248</v>
      </c>
      <c r="P42" s="38" t="s">
        <v>77</v>
      </c>
      <c r="Q42" s="19"/>
      <c r="R42" s="166" t="s">
        <v>94</v>
      </c>
      <c r="S42" s="19"/>
      <c r="T42" s="38" t="s">
        <v>249</v>
      </c>
      <c r="U42" s="31">
        <v>4.0700746E7</v>
      </c>
      <c r="V42" s="109" t="s">
        <v>250</v>
      </c>
      <c r="W42" s="5"/>
      <c r="X42" s="5"/>
      <c r="Y42" s="5"/>
      <c r="Z42" s="5"/>
      <c r="AA42" s="5"/>
    </row>
    <row r="43" ht="22.5" customHeight="1">
      <c r="A43" s="14" t="s">
        <v>482</v>
      </c>
      <c r="B43" s="88" t="s">
        <v>271</v>
      </c>
      <c r="C43" s="19"/>
      <c r="D43" s="22" t="s">
        <v>273</v>
      </c>
      <c r="E43" s="24" t="s">
        <v>60</v>
      </c>
      <c r="F43" s="27" t="s">
        <v>62</v>
      </c>
      <c r="G43" s="31">
        <v>2025.0</v>
      </c>
      <c r="H43" s="31">
        <v>3.0</v>
      </c>
      <c r="I43" s="35"/>
      <c r="J43" s="38" t="s">
        <v>278</v>
      </c>
      <c r="K43" s="38" t="s">
        <v>280</v>
      </c>
      <c r="L43" s="31">
        <v>40.0</v>
      </c>
      <c r="M43" s="31">
        <v>2.0</v>
      </c>
      <c r="N43" s="38" t="s">
        <v>281</v>
      </c>
      <c r="O43" s="38" t="s">
        <v>282</v>
      </c>
      <c r="P43" s="19"/>
      <c r="Q43" s="19"/>
      <c r="R43" s="46"/>
      <c r="S43" s="19"/>
      <c r="T43" s="19"/>
      <c r="U43" s="35"/>
      <c r="V43" s="50"/>
      <c r="W43" s="5"/>
      <c r="X43" s="5"/>
      <c r="Y43" s="5"/>
      <c r="Z43" s="5"/>
      <c r="AA43" s="5"/>
    </row>
    <row r="44" ht="22.5" customHeight="1">
      <c r="A44" s="18" t="s">
        <v>493</v>
      </c>
      <c r="B44" s="128" t="s">
        <v>360</v>
      </c>
      <c r="C44" s="54"/>
      <c r="D44" s="40" t="s">
        <v>361</v>
      </c>
      <c r="E44" s="42" t="s">
        <v>60</v>
      </c>
      <c r="F44" s="27" t="s">
        <v>62</v>
      </c>
      <c r="G44" s="47">
        <v>2025.0</v>
      </c>
      <c r="H44" s="47">
        <v>7.0</v>
      </c>
      <c r="I44" s="49"/>
      <c r="J44" s="57" t="s">
        <v>365</v>
      </c>
      <c r="K44" s="57" t="s">
        <v>366</v>
      </c>
      <c r="L44" s="47">
        <v>28.0</v>
      </c>
      <c r="M44" s="47">
        <v>4.0</v>
      </c>
      <c r="N44" s="57" t="s">
        <v>367</v>
      </c>
      <c r="O44" s="57" t="s">
        <v>368</v>
      </c>
      <c r="P44" s="54"/>
      <c r="Q44" s="54"/>
      <c r="R44" s="106"/>
      <c r="S44" s="54"/>
      <c r="T44" s="54"/>
      <c r="U44" s="49"/>
      <c r="V44" s="62"/>
      <c r="W44" s="5"/>
      <c r="X44" s="5"/>
      <c r="Y44" s="5"/>
      <c r="Z44" s="5"/>
      <c r="AA44" s="5"/>
    </row>
    <row r="45" ht="22.5" customHeight="1">
      <c r="A45" s="14" t="s">
        <v>505</v>
      </c>
      <c r="B45" s="144" t="s">
        <v>438</v>
      </c>
      <c r="C45" s="58"/>
      <c r="D45" s="25" t="s">
        <v>439</v>
      </c>
      <c r="E45" s="28" t="s">
        <v>60</v>
      </c>
      <c r="F45" s="27" t="s">
        <v>62</v>
      </c>
      <c r="G45" s="53">
        <v>2025.0</v>
      </c>
      <c r="H45" s="39"/>
      <c r="I45" s="39"/>
      <c r="J45" s="56" t="s">
        <v>66</v>
      </c>
      <c r="K45" s="56" t="s">
        <v>67</v>
      </c>
      <c r="L45" s="39"/>
      <c r="M45" s="39"/>
      <c r="N45" s="58"/>
      <c r="O45" s="56" t="s">
        <v>440</v>
      </c>
      <c r="P45" s="58"/>
      <c r="Q45" s="58"/>
      <c r="R45" s="138"/>
      <c r="S45" s="58"/>
      <c r="T45" s="58"/>
      <c r="U45" s="39"/>
      <c r="V45" s="79"/>
      <c r="W45" s="5"/>
      <c r="X45" s="5"/>
      <c r="Y45" s="5"/>
      <c r="Z45" s="5"/>
      <c r="AA45" s="5"/>
    </row>
    <row r="46" ht="22.5" customHeight="1">
      <c r="A46" s="18" t="s">
        <v>516</v>
      </c>
      <c r="B46" s="136" t="s">
        <v>544</v>
      </c>
      <c r="C46" s="107" t="s">
        <v>545</v>
      </c>
      <c r="D46" s="22" t="s">
        <v>545</v>
      </c>
      <c r="E46" s="24" t="s">
        <v>60</v>
      </c>
      <c r="F46" s="27" t="s">
        <v>62</v>
      </c>
      <c r="G46" s="31">
        <v>2025.0</v>
      </c>
      <c r="H46" s="35"/>
      <c r="I46" s="35"/>
      <c r="J46" s="19"/>
      <c r="K46" s="19"/>
      <c r="L46" s="35"/>
      <c r="M46" s="35"/>
      <c r="N46" s="19"/>
      <c r="O46" s="38" t="s">
        <v>548</v>
      </c>
      <c r="P46" s="19"/>
      <c r="Q46" s="38" t="s">
        <v>78</v>
      </c>
      <c r="R46" s="127" t="s">
        <v>80</v>
      </c>
      <c r="S46" s="19"/>
      <c r="T46" s="38" t="s">
        <v>549</v>
      </c>
      <c r="U46" s="35"/>
      <c r="V46" s="50"/>
      <c r="W46" s="5"/>
      <c r="X46" s="5"/>
      <c r="Y46" s="5"/>
      <c r="Z46" s="5"/>
      <c r="AA46" s="5"/>
    </row>
    <row r="47">
      <c r="A47" s="5"/>
      <c r="B47" s="122"/>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122"/>
      <c r="C48" s="5"/>
      <c r="D48" s="5"/>
      <c r="E48" s="5"/>
      <c r="F48" s="5"/>
      <c r="G48" s="5"/>
      <c r="H48" s="5"/>
      <c r="I48" s="5"/>
      <c r="J48" s="5"/>
      <c r="K48" s="5"/>
      <c r="L48" s="5"/>
      <c r="M48" s="5"/>
      <c r="N48" s="5"/>
      <c r="O48" s="5"/>
      <c r="P48" s="5"/>
      <c r="Q48" s="5"/>
      <c r="R48" s="5"/>
      <c r="S48" s="5"/>
      <c r="T48" s="5"/>
      <c r="U48" s="5"/>
      <c r="V48" s="5"/>
      <c r="W48" s="5"/>
      <c r="X48" s="5"/>
      <c r="Y48" s="5"/>
      <c r="Z48" s="5"/>
      <c r="AA48" s="5"/>
    </row>
    <row r="49">
      <c r="A49" s="169"/>
      <c r="F49" s="5"/>
      <c r="G49" s="5"/>
      <c r="H49" s="5"/>
      <c r="I49" s="5"/>
      <c r="J49" s="5"/>
      <c r="K49" s="5"/>
      <c r="L49" s="5"/>
      <c r="M49" s="5"/>
      <c r="N49" s="5"/>
      <c r="O49" s="5"/>
      <c r="P49" s="5"/>
      <c r="Q49" s="5"/>
      <c r="R49" s="5"/>
      <c r="S49" s="5"/>
      <c r="T49" s="5"/>
      <c r="U49" s="5"/>
      <c r="V49" s="5"/>
      <c r="W49" s="5"/>
      <c r="X49" s="5"/>
      <c r="Y49" s="5"/>
      <c r="Z49" s="5"/>
      <c r="AA49" s="5"/>
    </row>
    <row r="50">
      <c r="A50" s="5"/>
      <c r="B50" s="122"/>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122"/>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122"/>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122"/>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122"/>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122"/>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122"/>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122"/>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122"/>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122"/>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122"/>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122"/>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122"/>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122"/>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122"/>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122"/>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122"/>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122"/>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122"/>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122"/>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122"/>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122"/>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122"/>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122"/>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122"/>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122"/>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122"/>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122"/>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122"/>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122"/>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122"/>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122"/>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122"/>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122"/>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122"/>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122"/>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122"/>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122"/>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122"/>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122"/>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122"/>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122"/>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122"/>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122"/>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122"/>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122"/>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122"/>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122"/>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122"/>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122"/>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122"/>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122"/>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122"/>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122"/>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122"/>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122"/>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122"/>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122"/>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122"/>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122"/>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122"/>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122"/>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122"/>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122"/>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122"/>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122"/>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122"/>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122"/>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122"/>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122"/>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122"/>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122"/>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122"/>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122"/>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122"/>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122"/>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122"/>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122"/>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122"/>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122"/>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122"/>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122"/>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122"/>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122"/>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122"/>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122"/>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122"/>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122"/>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122"/>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122"/>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122"/>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122"/>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122"/>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122"/>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122"/>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122"/>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122"/>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122"/>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122"/>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122"/>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122"/>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122"/>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122"/>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122"/>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122"/>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122"/>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122"/>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122"/>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122"/>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122"/>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122"/>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122"/>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122"/>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122"/>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122"/>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122"/>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122"/>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122"/>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122"/>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122"/>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122"/>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122"/>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122"/>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122"/>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122"/>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122"/>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122"/>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122"/>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122"/>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122"/>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122"/>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122"/>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122"/>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122"/>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122"/>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122"/>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122"/>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122"/>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122"/>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122"/>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122"/>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122"/>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122"/>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122"/>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122"/>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122"/>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122"/>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122"/>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122"/>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122"/>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122"/>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122"/>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122"/>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122"/>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122"/>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122"/>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122"/>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122"/>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122"/>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122"/>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122"/>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122"/>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122"/>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122"/>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122"/>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122"/>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122"/>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122"/>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122"/>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122"/>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122"/>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122"/>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122"/>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122"/>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122"/>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122"/>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122"/>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122"/>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122"/>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122"/>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122"/>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122"/>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122"/>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122"/>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122"/>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122"/>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122"/>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122"/>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122"/>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122"/>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122"/>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122"/>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122"/>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122"/>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122"/>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122"/>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122"/>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122"/>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122"/>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122"/>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122"/>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122"/>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122"/>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122"/>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122"/>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122"/>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122"/>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122"/>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122"/>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122"/>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122"/>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122"/>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122"/>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122"/>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122"/>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122"/>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122"/>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122"/>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122"/>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122"/>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122"/>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122"/>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122"/>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122"/>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122"/>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122"/>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122"/>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122"/>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122"/>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122"/>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122"/>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122"/>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122"/>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122"/>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122"/>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122"/>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122"/>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122"/>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122"/>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122"/>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122"/>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122"/>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122"/>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122"/>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122"/>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122"/>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122"/>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122"/>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122"/>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122"/>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122"/>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122"/>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122"/>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122"/>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122"/>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122"/>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122"/>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122"/>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122"/>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122"/>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122"/>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122"/>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122"/>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122"/>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122"/>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122"/>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122"/>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122"/>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122"/>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122"/>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122"/>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122"/>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122"/>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122"/>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122"/>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122"/>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122"/>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122"/>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122"/>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122"/>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122"/>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122"/>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122"/>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122"/>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122"/>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122"/>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122"/>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122"/>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122"/>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122"/>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122"/>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122"/>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122"/>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122"/>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122"/>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122"/>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122"/>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122"/>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122"/>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122"/>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122"/>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122"/>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122"/>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122"/>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122"/>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122"/>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122"/>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122"/>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122"/>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122"/>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122"/>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122"/>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122"/>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122"/>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122"/>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122"/>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122"/>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122"/>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122"/>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122"/>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122"/>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122"/>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122"/>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122"/>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122"/>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122"/>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122"/>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122"/>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122"/>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122"/>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122"/>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122"/>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122"/>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122"/>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122"/>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122"/>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122"/>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122"/>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122"/>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122"/>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122"/>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122"/>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122"/>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122"/>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122"/>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122"/>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122"/>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122"/>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122"/>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122"/>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122"/>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122"/>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122"/>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122"/>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122"/>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122"/>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122"/>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122"/>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122"/>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122"/>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122"/>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122"/>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122"/>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122"/>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122"/>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122"/>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122"/>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122"/>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122"/>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122"/>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122"/>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122"/>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122"/>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122"/>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122"/>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122"/>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122"/>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122"/>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122"/>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122"/>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122"/>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122"/>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122"/>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122"/>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122"/>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122"/>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122"/>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122"/>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122"/>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122"/>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122"/>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122"/>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122"/>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122"/>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122"/>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122"/>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122"/>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122"/>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122"/>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122"/>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122"/>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122"/>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122"/>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122"/>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122"/>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122"/>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122"/>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122"/>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122"/>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122"/>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122"/>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122"/>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122"/>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122"/>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122"/>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122"/>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122"/>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122"/>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122"/>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122"/>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122"/>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122"/>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122"/>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122"/>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122"/>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122"/>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122"/>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122"/>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122"/>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122"/>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122"/>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122"/>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122"/>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122"/>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122"/>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122"/>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122"/>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122"/>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122"/>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122"/>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122"/>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122"/>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122"/>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122"/>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122"/>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122"/>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122"/>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122"/>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122"/>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122"/>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122"/>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122"/>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122"/>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122"/>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122"/>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122"/>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122"/>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122"/>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122"/>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122"/>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122"/>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122"/>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122"/>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122"/>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122"/>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122"/>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122"/>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122"/>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122"/>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122"/>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122"/>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122"/>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122"/>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122"/>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122"/>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122"/>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122"/>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122"/>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122"/>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122"/>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122"/>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122"/>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122"/>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122"/>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122"/>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122"/>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122"/>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122"/>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122"/>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122"/>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122"/>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122"/>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122"/>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122"/>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122"/>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122"/>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122"/>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122"/>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122"/>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122"/>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122"/>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122"/>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122"/>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122"/>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122"/>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122"/>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122"/>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122"/>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122"/>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122"/>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122"/>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122"/>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122"/>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122"/>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122"/>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122"/>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122"/>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122"/>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122"/>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122"/>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122"/>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122"/>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122"/>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122"/>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122"/>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122"/>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122"/>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122"/>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122"/>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122"/>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122"/>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122"/>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122"/>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122"/>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122"/>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122"/>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122"/>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122"/>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122"/>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122"/>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122"/>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122"/>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122"/>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122"/>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122"/>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122"/>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122"/>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122"/>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122"/>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122"/>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122"/>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122"/>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122"/>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122"/>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122"/>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122"/>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122"/>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122"/>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122"/>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122"/>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122"/>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122"/>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122"/>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122"/>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122"/>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122"/>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122"/>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122"/>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122"/>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122"/>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122"/>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122"/>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122"/>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122"/>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122"/>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122"/>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122"/>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122"/>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122"/>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122"/>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122"/>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122"/>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122"/>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122"/>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122"/>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122"/>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122"/>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122"/>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122"/>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122"/>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122"/>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122"/>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122"/>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122"/>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122"/>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122"/>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122"/>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122"/>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122"/>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122"/>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122"/>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122"/>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122"/>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122"/>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122"/>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122"/>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122"/>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122"/>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122"/>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122"/>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122"/>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122"/>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122"/>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122"/>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122"/>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122"/>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122"/>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122"/>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122"/>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122"/>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122"/>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122"/>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122"/>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122"/>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122"/>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122"/>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122"/>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122"/>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122"/>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122"/>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122"/>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122"/>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122"/>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122"/>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122"/>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122"/>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122"/>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122"/>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122"/>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122"/>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122"/>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122"/>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122"/>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122"/>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122"/>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122"/>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122"/>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122"/>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122"/>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122"/>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122"/>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122"/>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122"/>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122"/>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122"/>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122"/>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122"/>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122"/>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122"/>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122"/>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122"/>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122"/>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122"/>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122"/>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122"/>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122"/>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122"/>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122"/>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122"/>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122"/>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122"/>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122"/>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122"/>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122"/>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122"/>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122"/>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122"/>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122"/>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122"/>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122"/>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122"/>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122"/>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122"/>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122"/>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122"/>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122"/>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122"/>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122"/>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122"/>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122"/>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122"/>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122"/>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122"/>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122"/>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122"/>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122"/>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122"/>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122"/>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122"/>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122"/>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122"/>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122"/>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122"/>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122"/>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122"/>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122"/>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122"/>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122"/>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122"/>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122"/>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122"/>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122"/>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122"/>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122"/>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122"/>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122"/>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122"/>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122"/>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122"/>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122"/>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122"/>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122"/>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122"/>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122"/>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122"/>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122"/>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122"/>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122"/>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122"/>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122"/>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122"/>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122"/>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122"/>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122"/>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122"/>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122"/>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122"/>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122"/>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122"/>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122"/>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122"/>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122"/>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122"/>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122"/>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122"/>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122"/>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122"/>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122"/>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122"/>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122"/>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122"/>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122"/>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122"/>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122"/>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122"/>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122"/>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122"/>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122"/>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122"/>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122"/>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122"/>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122"/>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122"/>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122"/>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122"/>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122"/>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122"/>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122"/>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122"/>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122"/>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122"/>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122"/>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122"/>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122"/>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122"/>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122"/>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122"/>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122"/>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122"/>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122"/>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122"/>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122"/>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122"/>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122"/>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122"/>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122"/>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122"/>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122"/>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122"/>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122"/>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sheetData>
  <mergeCells count="1">
    <mergeCell ref="A49:E49"/>
  </mergeCells>
  <dataValidations>
    <dataValidation type="list" allowBlank="1" showDropDown="1" showErrorMessage="1" sqref="A2:A46">
      <formula1>"S01,S02,S03,S04,S05,S06,S07,S08,S09,S10,S11,S12,S13,S14,S15,S16,S17,S18,S19,S20,S21,S22,S23,S24,S25,S26,S27,S28,S29,S30,S31,S32,S33,S34,S35,S36,S37,S38,S39,S40,S41,S42,S43,S44,S45,S46,S47,S48,S49,S50,S51,S52,S53,S54,S55,S56,S57,S58,S59,S60,S61,S62,S63,S64"&amp;",S65,S66,S67,S68,S69,S70,S71,S72,S73,S74,S75,S76,S77,S78,S79,S80,S81,S82,S83,S84,S85,S86,S87,S88,S89,S90,S91,S92,S93,S94,S95,S96,S97,S98,S99,S100,S101,S102,S103,S104,S105,S106,S107,S108,S109,S110,S111,S112,S113,S114,S115,S116,S117,S118,S119,S120,S121,S122"&amp;",S123,S124,S125,S126,S127,S128,S129,S130,S131,S132,S133,S134,S135,S136,S137,S138,S139,S140,S141,S142,S143,S144,S145,S146,S147,S148,S149,S150,S151,S152,S153,S154,S155,S156,S157,S158,S159,S160,S161,S162,S163,S164,S165,S166,S167,S168,S169,S170,S171,S172,S173"&amp;",S174,S175,S176,S177,S178,S179,S180,S181,S182,S183,S184,S185,S186,S187,S188,S189,S190,S191,S192,S193,S194,S195,S196,S197,S198,S199,S200,S201,S202,S203,S204,S205,S206"</formula1>
    </dataValidation>
    <dataValidation type="list" allowBlank="1" showDropDown="1" showErrorMessage="1" sqref="R2:R46">
      <formula1>"United States,Switzerland,New York, NY, USA,Canada,Netherlands,England,Australia,USA,Germany,India"</formula1>
    </dataValidation>
    <dataValidation type="list" allowBlank="1" showDropDown="1" showErrorMessage="1" sqref="V2:V46">
      <formula1>"PMC6025558,PMC11203408,PMC12054967,PMC10511780,PMC11778161,PMC9180504,PMC10337301,PMC10337357,PMC11292145,PMC11007601,PMC10366700,PMC7566877,PMC7480726,PMC11951667,PMC6879100,PMC12329389,PMC9333518,PMC9271672,PMC8704107,PMC11564277,PMC5719498,PMC11299094,"&amp;"PMC7709895,PMC6696505,PMC12396793,PMC7527758,PMC10421562,PMC7013651,PMC8196355,PMC7677025,PMC12097645,PMC9349237,PMC10846420,PMC4835356,PMC6801001,PMC4706743,PMC6280972,PMC7451450,PMC5866528,PMC11937766,PMC12353438"</formula1>
    </dataValidation>
    <dataValidation type="custom" allowBlank="1" showDropDown="1" sqref="G2:I46 L2:M46 U2:U46">
      <formula1>AND(ISNUMBER(G2),(NOT(OR(NOT(ISERROR(DATEVALUE(G2))), AND(ISNUMBER(G2), LEFT(CELL("format", G2))="D")))))</formula1>
    </dataValidation>
    <dataValidation type="list" allowBlank="1" sqref="E2:E46">
      <formula1>"Rejected,Accepted,Doubt,duplicate"</formula1>
    </dataValidation>
    <dataValidation type="list" allowBlank="1" sqref="F2:F46">
      <formula1>"IC1 Study that discusses the needs and/or experiences of transgender or gender diverse people when using social networks,EC1 Study that does not directly address TGD individuals and their experiences, needs, or interactions in social networks from a persp"&amp;"ective related to the design, evaluation, use, or policies of these platforms (e.g., studies focused exclusively on biomedical, legal, or general social aspects).,EC2 Study that addresses other aspects of identity without focusing on gender identity as a "&amp;"factor in social network research,EC3 Non-peer-reviewed studies,EC4 Study published in languages other than English or Portuguese,EC5 Secondary study (systematic reviews, meta-analyses, and other secondary analyses that do not present new empirical data,E"&amp;"C6 Study that is not a full article,EC7 Study with full text unavailable,EC8 Study that exclusively analyze content or representations about TGD experiences in social media (e.g., posts, videos, hashtags), without direct data from TGD individuals (e.g., i"&amp;"nterviews, surveys) on their lived experiences or platform usage practices."</formula1>
    </dataValidation>
  </dataValidations>
  <hyperlinks>
    <hyperlink r:id="rId1" ref="C2"/>
    <hyperlink r:id="rId2" ref="D2"/>
    <hyperlink r:id="rId3" ref="C3"/>
    <hyperlink r:id="rId4" ref="D3"/>
    <hyperlink r:id="rId5" ref="C4"/>
    <hyperlink r:id="rId6" ref="D4"/>
    <hyperlink r:id="rId7" ref="D5"/>
    <hyperlink r:id="rId8" ref="D6"/>
    <hyperlink r:id="rId9" ref="D7"/>
    <hyperlink r:id="rId10" ref="C8"/>
    <hyperlink r:id="rId11" ref="D8"/>
    <hyperlink r:id="rId12" ref="C9"/>
    <hyperlink r:id="rId13" ref="D9"/>
    <hyperlink r:id="rId14" ref="C10"/>
    <hyperlink r:id="rId15" ref="D10"/>
    <hyperlink r:id="rId16" ref="C11"/>
    <hyperlink r:id="rId17" ref="D11"/>
    <hyperlink r:id="rId18" ref="D12"/>
    <hyperlink r:id="rId19" ref="D13"/>
    <hyperlink r:id="rId20" ref="D14"/>
    <hyperlink r:id="rId21" ref="C15"/>
    <hyperlink r:id="rId22" ref="D15"/>
    <hyperlink r:id="rId23" ref="C16"/>
    <hyperlink r:id="rId24" ref="D16"/>
    <hyperlink r:id="rId25" ref="C17"/>
    <hyperlink r:id="rId26" ref="D17"/>
    <hyperlink r:id="rId27" ref="D18"/>
    <hyperlink r:id="rId28" ref="C19"/>
    <hyperlink r:id="rId29" ref="D19"/>
    <hyperlink r:id="rId30" ref="C20"/>
    <hyperlink r:id="rId31" ref="D20"/>
    <hyperlink r:id="rId32" ref="C21"/>
    <hyperlink r:id="rId33" ref="D21"/>
    <hyperlink r:id="rId34" ref="D22"/>
    <hyperlink r:id="rId35" ref="C23"/>
    <hyperlink r:id="rId36" ref="D23"/>
    <hyperlink r:id="rId37" ref="D24"/>
    <hyperlink r:id="rId38" ref="C25"/>
    <hyperlink r:id="rId39" ref="D25"/>
    <hyperlink r:id="rId40" ref="C26"/>
    <hyperlink r:id="rId41" ref="D26"/>
    <hyperlink r:id="rId42" ref="C27"/>
    <hyperlink r:id="rId43" ref="D27"/>
    <hyperlink r:id="rId44" ref="D28"/>
    <hyperlink r:id="rId45" ref="D29"/>
    <hyperlink r:id="rId46" ref="D30"/>
    <hyperlink r:id="rId47" ref="D31"/>
    <hyperlink r:id="rId48" ref="D32"/>
    <hyperlink r:id="rId49" ref="D33"/>
    <hyperlink r:id="rId50" ref="C34"/>
    <hyperlink r:id="rId51" ref="D34"/>
    <hyperlink r:id="rId52" ref="D35"/>
    <hyperlink r:id="rId53" ref="D36"/>
    <hyperlink r:id="rId54" ref="C37"/>
    <hyperlink r:id="rId55" ref="D37"/>
    <hyperlink r:id="rId56" ref="D38"/>
    <hyperlink r:id="rId57" ref="D39"/>
    <hyperlink r:id="rId58" ref="C40"/>
    <hyperlink r:id="rId59" ref="D40"/>
    <hyperlink r:id="rId60" ref="D41"/>
    <hyperlink r:id="rId61" ref="C42"/>
    <hyperlink r:id="rId62" ref="D42"/>
    <hyperlink r:id="rId63" ref="D43"/>
    <hyperlink r:id="rId64" ref="D44"/>
    <hyperlink r:id="rId65" ref="D45"/>
    <hyperlink r:id="rId66" ref="C46"/>
    <hyperlink r:id="rId67" ref="D46"/>
  </hyperlinks>
  <drawing r:id="rId68"/>
  <tableParts count="1">
    <tablePart r:id="rId7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47.25"/>
  </cols>
  <sheetData>
    <row r="1" ht="22.5" customHeight="1">
      <c r="A1" s="1" t="s">
        <v>0</v>
      </c>
      <c r="B1" s="3" t="s">
        <v>2</v>
      </c>
      <c r="C1" s="2" t="s">
        <v>4</v>
      </c>
      <c r="D1" s="5"/>
      <c r="E1" s="5"/>
      <c r="F1" s="5"/>
      <c r="G1" s="5"/>
      <c r="H1" s="5"/>
      <c r="I1" s="5"/>
      <c r="J1" s="5"/>
      <c r="K1" s="5"/>
      <c r="L1" s="5"/>
      <c r="M1" s="5"/>
      <c r="N1" s="5"/>
      <c r="O1" s="5"/>
      <c r="P1" s="5"/>
      <c r="Q1" s="5"/>
      <c r="R1" s="5"/>
      <c r="S1" s="5"/>
      <c r="T1" s="5"/>
      <c r="U1" s="5"/>
      <c r="V1" s="5"/>
      <c r="W1" s="5"/>
      <c r="X1" s="5"/>
      <c r="Y1" s="5"/>
      <c r="Z1" s="5"/>
    </row>
    <row r="2" ht="22.5" customHeight="1">
      <c r="A2" s="6" t="s">
        <v>10</v>
      </c>
      <c r="B2" s="8" t="s">
        <v>13</v>
      </c>
      <c r="C2" s="9">
        <v>7.0</v>
      </c>
      <c r="D2" s="5"/>
      <c r="E2" s="5"/>
      <c r="F2" s="5"/>
      <c r="G2" s="5"/>
      <c r="H2" s="5"/>
      <c r="I2" s="5"/>
      <c r="J2" s="5"/>
      <c r="K2" s="5"/>
      <c r="L2" s="5"/>
      <c r="M2" s="5"/>
      <c r="N2" s="5"/>
      <c r="O2" s="5"/>
      <c r="P2" s="5"/>
      <c r="Q2" s="5"/>
      <c r="R2" s="5"/>
      <c r="S2" s="5"/>
      <c r="T2" s="5"/>
      <c r="U2" s="5"/>
      <c r="V2" s="5"/>
      <c r="W2" s="5"/>
      <c r="X2" s="5"/>
      <c r="Y2" s="5"/>
      <c r="Z2" s="5"/>
    </row>
    <row r="3" ht="22.5" customHeight="1">
      <c r="A3" s="11" t="s">
        <v>25</v>
      </c>
      <c r="B3" s="12" t="s">
        <v>28</v>
      </c>
      <c r="C3" s="13">
        <v>19.0</v>
      </c>
      <c r="D3" s="5"/>
      <c r="E3" s="5"/>
      <c r="F3" s="5"/>
      <c r="G3" s="5"/>
      <c r="H3" s="5"/>
      <c r="I3" s="5"/>
      <c r="J3" s="5"/>
      <c r="K3" s="5"/>
      <c r="L3" s="5"/>
      <c r="M3" s="5"/>
      <c r="N3" s="5"/>
      <c r="O3" s="5"/>
      <c r="P3" s="5"/>
      <c r="Q3" s="5"/>
      <c r="R3" s="5"/>
      <c r="S3" s="5"/>
      <c r="T3" s="5"/>
      <c r="U3" s="5"/>
      <c r="V3" s="5"/>
      <c r="W3" s="5"/>
      <c r="X3" s="5"/>
      <c r="Y3" s="5"/>
      <c r="Z3" s="5"/>
    </row>
    <row r="4" ht="22.5" customHeight="1">
      <c r="A4" s="6" t="s">
        <v>35</v>
      </c>
      <c r="B4" s="8" t="s">
        <v>37</v>
      </c>
      <c r="C4" s="9">
        <v>0.0</v>
      </c>
      <c r="D4" s="5"/>
      <c r="E4" s="5"/>
      <c r="F4" s="5"/>
      <c r="G4" s="5"/>
      <c r="H4" s="5"/>
      <c r="I4" s="5"/>
      <c r="J4" s="5"/>
      <c r="K4" s="5"/>
      <c r="L4" s="5"/>
      <c r="M4" s="5"/>
      <c r="N4" s="5"/>
      <c r="O4" s="5"/>
      <c r="P4" s="5"/>
      <c r="Q4" s="5"/>
      <c r="R4" s="5"/>
      <c r="S4" s="5"/>
      <c r="T4" s="5"/>
      <c r="U4" s="5"/>
      <c r="V4" s="5"/>
      <c r="W4" s="5"/>
      <c r="X4" s="5"/>
      <c r="Y4" s="5"/>
      <c r="Z4" s="5"/>
    </row>
    <row r="5" ht="22.5" customHeight="1">
      <c r="A5" s="11" t="s">
        <v>43</v>
      </c>
      <c r="B5" s="12" t="s">
        <v>44</v>
      </c>
      <c r="C5" s="13">
        <v>0.0</v>
      </c>
      <c r="D5" s="5"/>
      <c r="E5" s="5"/>
      <c r="F5" s="5"/>
      <c r="G5" s="5"/>
      <c r="H5" s="5"/>
      <c r="I5" s="5"/>
      <c r="J5" s="5"/>
      <c r="K5" s="5"/>
      <c r="L5" s="5"/>
      <c r="M5" s="5"/>
      <c r="N5" s="5"/>
      <c r="O5" s="5"/>
      <c r="P5" s="5"/>
      <c r="Q5" s="5"/>
      <c r="R5" s="5"/>
      <c r="S5" s="5"/>
      <c r="T5" s="5"/>
      <c r="U5" s="5"/>
      <c r="V5" s="5"/>
      <c r="W5" s="5"/>
      <c r="X5" s="5"/>
      <c r="Y5" s="5"/>
      <c r="Z5" s="5"/>
    </row>
    <row r="6" ht="22.5" customHeight="1">
      <c r="A6" s="6" t="s">
        <v>48</v>
      </c>
      <c r="B6" s="8" t="s">
        <v>49</v>
      </c>
      <c r="C6" s="9">
        <v>0.0</v>
      </c>
      <c r="D6" s="5"/>
      <c r="E6" s="5"/>
      <c r="F6" s="5"/>
      <c r="G6" s="5"/>
      <c r="H6" s="5"/>
      <c r="I6" s="5"/>
      <c r="J6" s="5"/>
      <c r="K6" s="5"/>
      <c r="L6" s="5"/>
      <c r="M6" s="5"/>
      <c r="N6" s="5"/>
      <c r="O6" s="5"/>
      <c r="P6" s="5"/>
      <c r="Q6" s="5"/>
      <c r="R6" s="5"/>
      <c r="S6" s="5"/>
      <c r="T6" s="5"/>
      <c r="U6" s="5"/>
      <c r="V6" s="5"/>
      <c r="W6" s="5"/>
      <c r="X6" s="5"/>
      <c r="Y6" s="5"/>
      <c r="Z6" s="5"/>
    </row>
    <row r="7" ht="22.5" customHeight="1">
      <c r="A7" s="11" t="s">
        <v>52</v>
      </c>
      <c r="B7" s="12" t="s">
        <v>53</v>
      </c>
      <c r="C7" s="13">
        <v>0.0</v>
      </c>
      <c r="D7" s="5"/>
      <c r="E7" s="5"/>
      <c r="F7" s="5"/>
      <c r="G7" s="5"/>
      <c r="H7" s="5"/>
      <c r="I7" s="5"/>
      <c r="J7" s="5"/>
      <c r="K7" s="5"/>
      <c r="L7" s="5"/>
      <c r="M7" s="5"/>
      <c r="N7" s="5"/>
      <c r="O7" s="5"/>
      <c r="P7" s="5"/>
      <c r="Q7" s="5"/>
      <c r="R7" s="5"/>
      <c r="S7" s="5"/>
      <c r="T7" s="5"/>
      <c r="U7" s="5"/>
      <c r="V7" s="5"/>
      <c r="W7" s="5"/>
      <c r="X7" s="5"/>
      <c r="Y7" s="5"/>
      <c r="Z7" s="5"/>
    </row>
    <row r="8" ht="22.5" customHeight="1">
      <c r="A8" s="23" t="s">
        <v>56</v>
      </c>
      <c r="B8" s="26" t="s">
        <v>58</v>
      </c>
      <c r="C8" s="9">
        <v>0.0</v>
      </c>
      <c r="D8" s="5"/>
      <c r="E8" s="5"/>
      <c r="F8" s="5"/>
      <c r="G8" s="5"/>
      <c r="H8" s="5"/>
      <c r="I8" s="5"/>
      <c r="J8" s="5"/>
      <c r="K8" s="5"/>
      <c r="L8" s="5"/>
      <c r="M8" s="5"/>
      <c r="N8" s="5"/>
      <c r="O8" s="5"/>
      <c r="P8" s="5"/>
      <c r="Q8" s="5"/>
      <c r="R8" s="5"/>
      <c r="S8" s="5"/>
      <c r="T8" s="5"/>
      <c r="U8" s="5"/>
      <c r="V8" s="5"/>
      <c r="W8" s="5"/>
      <c r="X8" s="5"/>
      <c r="Y8" s="5"/>
      <c r="Z8" s="5"/>
    </row>
    <row r="9" ht="22.5" customHeight="1">
      <c r="A9" s="34" t="s">
        <v>64</v>
      </c>
      <c r="B9" s="37" t="s">
        <v>65</v>
      </c>
      <c r="C9" s="41">
        <v>0.0</v>
      </c>
      <c r="D9" s="5"/>
      <c r="E9" s="5"/>
      <c r="F9" s="5"/>
      <c r="G9" s="5"/>
      <c r="H9" s="5"/>
      <c r="I9" s="5"/>
      <c r="J9" s="5"/>
      <c r="K9" s="5"/>
      <c r="L9" s="5"/>
      <c r="M9" s="5"/>
      <c r="N9" s="5"/>
      <c r="O9" s="5"/>
      <c r="P9" s="5"/>
      <c r="Q9" s="5"/>
      <c r="R9" s="5"/>
      <c r="S9" s="5"/>
      <c r="T9" s="5"/>
      <c r="U9" s="5"/>
      <c r="V9" s="5"/>
      <c r="W9" s="5"/>
      <c r="X9" s="5"/>
      <c r="Y9" s="5"/>
      <c r="Z9" s="5"/>
    </row>
    <row r="10" ht="22.5" customHeight="1">
      <c r="A10" s="43" t="s">
        <v>69</v>
      </c>
      <c r="B10" s="44"/>
      <c r="C10" s="45">
        <v>1.0</v>
      </c>
      <c r="D10" s="5"/>
      <c r="E10" s="5"/>
      <c r="F10" s="5"/>
      <c r="G10" s="5"/>
      <c r="H10" s="5"/>
      <c r="I10" s="5"/>
      <c r="J10" s="5"/>
      <c r="K10" s="5"/>
      <c r="L10" s="5"/>
      <c r="M10" s="5"/>
      <c r="N10" s="5"/>
      <c r="O10" s="5"/>
      <c r="P10" s="5"/>
      <c r="Q10" s="5"/>
      <c r="R10" s="5"/>
      <c r="S10" s="5"/>
      <c r="T10" s="5"/>
      <c r="U10" s="5"/>
      <c r="V10" s="5"/>
      <c r="W10" s="5"/>
      <c r="X10" s="5"/>
      <c r="Y10" s="5"/>
      <c r="Z10" s="5"/>
    </row>
    <row r="11" ht="22.5" customHeight="1">
      <c r="A11" s="48"/>
      <c r="B11" s="51" t="s">
        <v>71</v>
      </c>
      <c r="C11" s="55">
        <f>SUM(C2:C10)</f>
        <v>27</v>
      </c>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drawing r:id="rId1"/>
  <tableParts count="1">
    <tablePart r:id="rId3"/>
  </tableParts>
</worksheet>
</file>